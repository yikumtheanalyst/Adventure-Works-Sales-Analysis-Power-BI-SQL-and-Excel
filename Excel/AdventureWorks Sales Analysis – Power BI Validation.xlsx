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e0d2e692c8667d/PowerBI/Sales Analysis/AdventureWorks-Sales-Analysis/Excel/"/>
    </mc:Choice>
  </mc:AlternateContent>
  <xr:revisionPtr revIDLastSave="31" documentId="8_{69E66012-3F42-4BFA-9A83-FFC1FA652750}" xr6:coauthVersionLast="47" xr6:coauthVersionMax="47" xr10:uidLastSave="{C480F22D-8360-486C-90C8-99B933B2994F}"/>
  <bookViews>
    <workbookView xWindow="-96" yWindow="-96" windowWidth="23232" windowHeight="12432" tabRatio="781" xr2:uid="{4845B38B-B643-4339-A1EA-9AD1E9539490}"/>
  </bookViews>
  <sheets>
    <sheet name="Executive Summary" sheetId="2" r:id="rId1"/>
    <sheet name="Profitability Analysis" sheetId="3" r:id="rId2"/>
    <sheet name="Product &amp; Sales" sheetId="6" r:id="rId3"/>
    <sheet name="Customer Performance" sheetId="5" r:id="rId4"/>
    <sheet name="Region &amp; Territory" sheetId="8" r:id="rId5"/>
    <sheet name="Salesperson  &amp; Salesperson Dril" sheetId="7" r:id="rId6"/>
  </sheets>
  <calcPr calcId="191029"/>
  <pivotCaches>
    <pivotCache cacheId="4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3" i="8" l="1"/>
  <c r="Y44" i="8"/>
  <c r="Y45" i="8"/>
  <c r="Y46" i="8"/>
  <c r="Y47" i="8"/>
  <c r="Y48" i="8"/>
  <c r="Y49" i="8"/>
  <c r="Y50" i="8"/>
  <c r="Y51" i="8"/>
  <c r="Y52" i="8"/>
  <c r="Y43" i="8"/>
  <c r="R45" i="8"/>
  <c r="R46" i="8"/>
  <c r="R47" i="8"/>
  <c r="R48" i="8"/>
  <c r="R49" i="8"/>
  <c r="R50" i="8"/>
  <c r="R51" i="8"/>
  <c r="R52" i="8"/>
  <c r="R53" i="8"/>
  <c r="R54" i="8"/>
  <c r="R44" i="8"/>
  <c r="Q37" i="8"/>
  <c r="L17" i="8"/>
  <c r="K17" i="8"/>
  <c r="S7" i="8"/>
  <c r="S4" i="8"/>
  <c r="U7" i="8" s="1"/>
  <c r="P7" i="8"/>
  <c r="P6" i="8"/>
  <c r="P5" i="8"/>
  <c r="P4" i="8"/>
  <c r="Q43" i="7"/>
  <c r="P43" i="7"/>
  <c r="O43" i="7"/>
  <c r="N43" i="7"/>
  <c r="M43" i="7"/>
  <c r="L43" i="7"/>
  <c r="D43" i="7"/>
  <c r="E43" i="7"/>
  <c r="F43" i="7"/>
  <c r="G43" i="7"/>
  <c r="C43" i="7"/>
  <c r="B4" i="7"/>
  <c r="D4" i="7"/>
  <c r="E4" i="7"/>
  <c r="F4" i="7"/>
  <c r="G4" i="7"/>
  <c r="C4" i="7"/>
  <c r="I17" i="3"/>
  <c r="H10" i="3"/>
  <c r="G10" i="3"/>
  <c r="F10" i="3"/>
  <c r="E10" i="3"/>
  <c r="D10" i="3"/>
  <c r="C10" i="3"/>
  <c r="H9" i="3"/>
  <c r="G9" i="3"/>
  <c r="F9" i="3"/>
  <c r="E9" i="3"/>
  <c r="D9" i="3"/>
  <c r="C9" i="3"/>
  <c r="H7" i="3"/>
  <c r="F7" i="3"/>
  <c r="E7" i="3"/>
  <c r="D7" i="3"/>
  <c r="C7" i="3"/>
  <c r="K6" i="3"/>
  <c r="J6" i="3"/>
  <c r="I6" i="3"/>
  <c r="K5" i="3"/>
  <c r="J5" i="3"/>
  <c r="I5" i="3"/>
  <c r="H4" i="3"/>
  <c r="H11" i="3" s="1"/>
  <c r="F4" i="3"/>
  <c r="E4" i="3"/>
  <c r="D4" i="3"/>
  <c r="C4" i="3"/>
  <c r="K3" i="3"/>
  <c r="K10" i="3" s="1"/>
  <c r="J3" i="3"/>
  <c r="J10" i="3" s="1"/>
  <c r="I3" i="3"/>
  <c r="I10" i="3" s="1"/>
  <c r="K2" i="3"/>
  <c r="K9" i="3" s="1"/>
  <c r="J2" i="3"/>
  <c r="I2" i="3"/>
  <c r="I9" i="3" s="1"/>
  <c r="H4" i="2"/>
  <c r="D9" i="2"/>
  <c r="E9" i="2"/>
  <c r="F9" i="2"/>
  <c r="G9" i="2"/>
  <c r="H9" i="2"/>
  <c r="D10" i="2"/>
  <c r="E10" i="2"/>
  <c r="F10" i="2"/>
  <c r="G10" i="2"/>
  <c r="H10" i="2"/>
  <c r="H7" i="2"/>
  <c r="H11" i="2" s="1"/>
  <c r="I16" i="2"/>
  <c r="M3" i="2"/>
  <c r="M5" i="2"/>
  <c r="M6" i="2"/>
  <c r="M2" i="2"/>
  <c r="L3" i="2"/>
  <c r="L5" i="2"/>
  <c r="L6" i="2"/>
  <c r="L2" i="2"/>
  <c r="C10" i="2"/>
  <c r="C9" i="2"/>
  <c r="K5" i="2"/>
  <c r="K6" i="2"/>
  <c r="K3" i="2"/>
  <c r="K10" i="2" s="1"/>
  <c r="K2" i="2"/>
  <c r="D4" i="2"/>
  <c r="E4" i="2"/>
  <c r="F4" i="2"/>
  <c r="C4" i="2"/>
  <c r="Q7" i="8" l="1"/>
  <c r="R42" i="7"/>
  <c r="R40" i="7"/>
  <c r="R41" i="7"/>
  <c r="R37" i="7"/>
  <c r="R35" i="7"/>
  <c r="R33" i="7"/>
  <c r="R36" i="7"/>
  <c r="R34" i="7"/>
  <c r="R29" i="7"/>
  <c r="R38" i="7"/>
  <c r="R31" i="7"/>
  <c r="R26" i="7"/>
  <c r="R27" i="7"/>
  <c r="R28" i="7"/>
  <c r="R30" i="7"/>
  <c r="H35" i="7"/>
  <c r="H36" i="7"/>
  <c r="H37" i="7"/>
  <c r="R39" i="7"/>
  <c r="R32" i="7"/>
  <c r="H34" i="7"/>
  <c r="H38" i="7"/>
  <c r="H27" i="7"/>
  <c r="H39" i="7"/>
  <c r="H40" i="7"/>
  <c r="H41" i="7"/>
  <c r="H42" i="7"/>
  <c r="H26" i="7"/>
  <c r="H29" i="7"/>
  <c r="H33" i="7"/>
  <c r="H28" i="7"/>
  <c r="H30" i="7"/>
  <c r="H31" i="7"/>
  <c r="H32" i="7"/>
  <c r="I7" i="3"/>
  <c r="J9" i="3"/>
  <c r="E11" i="3"/>
  <c r="D11" i="3"/>
  <c r="K7" i="3"/>
  <c r="J7" i="3"/>
  <c r="F11" i="3"/>
  <c r="I4" i="3"/>
  <c r="C11" i="3"/>
  <c r="K4" i="3"/>
  <c r="K11" i="3" s="1"/>
  <c r="J4" i="3"/>
  <c r="J11" i="3" s="1"/>
  <c r="M9" i="2"/>
  <c r="K9" i="2"/>
  <c r="M10" i="2"/>
  <c r="L10" i="2"/>
  <c r="L9" i="2"/>
  <c r="E7" i="2"/>
  <c r="E11" i="2" s="1"/>
  <c r="C7" i="2"/>
  <c r="C11" i="2" s="1"/>
  <c r="M4" i="2"/>
  <c r="L4" i="2"/>
  <c r="D7" i="2"/>
  <c r="D11" i="2" s="1"/>
  <c r="F7" i="2"/>
  <c r="F11" i="2" s="1"/>
  <c r="K4" i="2"/>
  <c r="I11" i="3" l="1"/>
  <c r="L7" i="2"/>
  <c r="L11" i="2" s="1"/>
  <c r="M7" i="2"/>
  <c r="M11" i="2" s="1"/>
  <c r="K7" i="2"/>
  <c r="K11" i="2" s="1"/>
</calcChain>
</file>

<file path=xl/sharedStrings.xml><?xml version="1.0" encoding="utf-8"?>
<sst xmlns="http://schemas.openxmlformats.org/spreadsheetml/2006/main" count="499" uniqueCount="120">
  <si>
    <t>Yr</t>
  </si>
  <si>
    <t>Data Source</t>
  </si>
  <si>
    <t>Year_Number</t>
  </si>
  <si>
    <t>Sales Amount</t>
  </si>
  <si>
    <t>Total Orders</t>
  </si>
  <si>
    <t>Units Sold</t>
  </si>
  <si>
    <t>Gross Profit</t>
  </si>
  <si>
    <t>InternetSales</t>
  </si>
  <si>
    <t>ResellerSales</t>
  </si>
  <si>
    <t>Customer_Count</t>
  </si>
  <si>
    <t>Gross Profit %</t>
  </si>
  <si>
    <t>YoY</t>
  </si>
  <si>
    <t>Data_Source</t>
  </si>
  <si>
    <t>Average Selling Price</t>
  </si>
  <si>
    <t>Average Order Value</t>
  </si>
  <si>
    <t>Total Products</t>
  </si>
  <si>
    <t>PP</t>
  </si>
  <si>
    <t>Row Labels</t>
  </si>
  <si>
    <t>Grand Total</t>
  </si>
  <si>
    <t>Column Labels</t>
  </si>
  <si>
    <t>TotalProductCost</t>
  </si>
  <si>
    <t>Total ProductCost</t>
  </si>
  <si>
    <t>Total Unique Products</t>
  </si>
  <si>
    <t>Total_Revenue</t>
  </si>
  <si>
    <t>Internet Customer</t>
  </si>
  <si>
    <t>Average Revenue /  Customer</t>
  </si>
  <si>
    <t>Customer Type</t>
  </si>
  <si>
    <t>New Customers</t>
  </si>
  <si>
    <t>Rate</t>
  </si>
  <si>
    <t>Returning Customers</t>
  </si>
  <si>
    <t>Lost Customers</t>
  </si>
  <si>
    <t>Customer LN FN</t>
  </si>
  <si>
    <t>Top 5 Internet Customers  by Sales</t>
  </si>
  <si>
    <t>CustomerKey</t>
  </si>
  <si>
    <t>Internet Sales</t>
  </si>
  <si>
    <t>11433 - Shan Maurice</t>
  </si>
  <si>
    <t>11439 - Munoz Janet</t>
  </si>
  <si>
    <t>12301 - Nara Nichole</t>
  </si>
  <si>
    <t>12308 - He Margaret</t>
  </si>
  <si>
    <t>12131 - Dominguez Randall</t>
  </si>
  <si>
    <t>Retention Rate</t>
  </si>
  <si>
    <t>Total Sales</t>
  </si>
  <si>
    <t>Total Products Sold</t>
  </si>
  <si>
    <t>Internet Products Sold</t>
  </si>
  <si>
    <t>Reseller Products Sold</t>
  </si>
  <si>
    <t>Products Newly Sold vs PY</t>
  </si>
  <si>
    <t>Products Not Sold vs PY</t>
  </si>
  <si>
    <t>NULL</t>
  </si>
  <si>
    <t>Top 5 PY</t>
  </si>
  <si>
    <t>Product_Name</t>
  </si>
  <si>
    <t>Combined Sales</t>
  </si>
  <si>
    <t>Mountain-200 Black, 38</t>
  </si>
  <si>
    <t>Mountain-200 Black, 42</t>
  </si>
  <si>
    <t>Mountain-200 Silver, 38</t>
  </si>
  <si>
    <t>Mountain-200 Silver, 46</t>
  </si>
  <si>
    <t>Mountain-200 Silver, 42</t>
  </si>
  <si>
    <t>Mountain-200 Black, 46</t>
  </si>
  <si>
    <t>Top 5 CY</t>
  </si>
  <si>
    <t>EmployeeKey</t>
  </si>
  <si>
    <t>Employee Name</t>
  </si>
  <si>
    <t>282 Mitchell Linda</t>
  </si>
  <si>
    <t>291 Pak Jae</t>
  </si>
  <si>
    <t>281 Blythe Michael</t>
  </si>
  <si>
    <t>292 Varkey Chudukatil Ranjit</t>
  </si>
  <si>
    <t>283 Carson Jillian</t>
  </si>
  <si>
    <t>Top 5 Salesperson CY</t>
  </si>
  <si>
    <t>Top 5 Salesperson PY</t>
  </si>
  <si>
    <t>Active Resellers</t>
  </si>
  <si>
    <t>Sales per Salesperson</t>
  </si>
  <si>
    <t>Resellers AOV</t>
  </si>
  <si>
    <t>Salesperson</t>
  </si>
  <si>
    <t>285 Reiter Tsvi</t>
  </si>
  <si>
    <t>288 Saraiva José</t>
  </si>
  <si>
    <t>296 Tsoflias Lynn</t>
  </si>
  <si>
    <t>295 Valdez Rachel</t>
  </si>
  <si>
    <t>284 Vargas Garrett</t>
  </si>
  <si>
    <t>287 Ito Shu</t>
  </si>
  <si>
    <t>293 Mensa-Annan Tete</t>
  </si>
  <si>
    <t>289 Campbell David</t>
  </si>
  <si>
    <t>290 Alberts Amy</t>
  </si>
  <si>
    <t>272 Jiang Stephen</t>
  </si>
  <si>
    <t>294 Abbas Syed</t>
  </si>
  <si>
    <t>286 Ansman-Wolfe Pamela</t>
  </si>
  <si>
    <t>Active Resellers by Salesperson</t>
  </si>
  <si>
    <t>Salesperson Sales Contribution %</t>
  </si>
  <si>
    <t>Reseller Sales by Territory</t>
  </si>
  <si>
    <t>Contribution %</t>
  </si>
  <si>
    <t>SalesTerritoryRegion</t>
  </si>
  <si>
    <t>Southwest</t>
  </si>
  <si>
    <t>Canada</t>
  </si>
  <si>
    <t>Northwest</t>
  </si>
  <si>
    <t>Southeast</t>
  </si>
  <si>
    <t>Central</t>
  </si>
  <si>
    <t>Northeast</t>
  </si>
  <si>
    <t>United Kingdom</t>
  </si>
  <si>
    <t>Australia</t>
  </si>
  <si>
    <t>France</t>
  </si>
  <si>
    <t>Germany</t>
  </si>
  <si>
    <t>Sum of Total Sales</t>
  </si>
  <si>
    <t>Sales YoY %</t>
  </si>
  <si>
    <t>Sum of Gross Profit</t>
  </si>
  <si>
    <t>GP YoY %</t>
  </si>
  <si>
    <t>Sum of Total Orders</t>
  </si>
  <si>
    <t>Sum of Units Sold</t>
  </si>
  <si>
    <t>Orders YoY</t>
  </si>
  <si>
    <t>Units Sold YoY</t>
  </si>
  <si>
    <t>Territory</t>
  </si>
  <si>
    <t>Internet vs Reseller Sales by Territory</t>
  </si>
  <si>
    <t>Total Sales by Territory</t>
  </si>
  <si>
    <t>KPIs</t>
  </si>
  <si>
    <t>Sales by Territory Group</t>
  </si>
  <si>
    <t>Profit Margin % by Territory</t>
  </si>
  <si>
    <t>Sales YoY % by Territory</t>
  </si>
  <si>
    <t>SalesTerritoryGroup</t>
  </si>
  <si>
    <t>North America</t>
  </si>
  <si>
    <t>Pacific</t>
  </si>
  <si>
    <t>Europe</t>
  </si>
  <si>
    <t>Sales YoY</t>
  </si>
  <si>
    <t>Profit Margin %</t>
  </si>
  <si>
    <t>Consistently 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</si>
</sst>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7" formatCode="&quot;$&quot;#,##0.00"/>
    <numFmt numFmtId="169" formatCode="&quot;$&quot;#,##0"/>
    <numFmt numFmtId="171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10" fontId="0" fillId="0" borderId="0" xfId="2" applyNumberFormat="1" applyFont="1"/>
    <xf numFmtId="167" fontId="0" fillId="0" borderId="0" xfId="0" applyNumberFormat="1"/>
    <xf numFmtId="169" fontId="0" fillId="0" borderId="0" xfId="0" applyNumberFormat="1"/>
    <xf numFmtId="171" fontId="0" fillId="0" borderId="0" xfId="1" applyNumberFormat="1" applyFont="1"/>
    <xf numFmtId="0" fontId="2" fillId="0" borderId="0" xfId="0" applyFont="1"/>
    <xf numFmtId="171" fontId="2" fillId="0" borderId="0" xfId="1" applyNumberFormat="1" applyFont="1"/>
    <xf numFmtId="0" fontId="2" fillId="3" borderId="0" xfId="0" applyFont="1" applyFill="1"/>
    <xf numFmtId="169" fontId="2" fillId="3" borderId="0" xfId="0" applyNumberFormat="1" applyFont="1" applyFill="1"/>
    <xf numFmtId="171" fontId="2" fillId="3" borderId="0" xfId="1" applyNumberFormat="1" applyFont="1" applyFill="1"/>
    <xf numFmtId="10" fontId="2" fillId="3" borderId="0" xfId="2" applyNumberFormat="1" applyFont="1" applyFill="1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167" fontId="2" fillId="3" borderId="0" xfId="0" applyNumberFormat="1" applyFont="1" applyFill="1"/>
    <xf numFmtId="10" fontId="2" fillId="4" borderId="0" xfId="2" applyNumberFormat="1" applyFont="1" applyFill="1"/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/>
    </xf>
    <xf numFmtId="2" fontId="2" fillId="3" borderId="0" xfId="2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5" borderId="1" xfId="0" applyFont="1" applyFill="1" applyBorder="1"/>
    <xf numFmtId="169" fontId="0" fillId="0" borderId="0" xfId="1" applyNumberFormat="1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right" vertical="center"/>
    </xf>
    <xf numFmtId="0" fontId="2" fillId="0" borderId="2" xfId="0" applyFont="1" applyBorder="1"/>
    <xf numFmtId="169" fontId="0" fillId="0" borderId="2" xfId="0" applyNumberFormat="1" applyBorder="1"/>
    <xf numFmtId="171" fontId="0" fillId="0" borderId="2" xfId="1" applyNumberFormat="1" applyFont="1" applyBorder="1"/>
    <xf numFmtId="167" fontId="0" fillId="0" borderId="2" xfId="0" applyNumberFormat="1" applyBorder="1"/>
    <xf numFmtId="0" fontId="0" fillId="0" borderId="2" xfId="0" applyBorder="1"/>
    <xf numFmtId="10" fontId="0" fillId="0" borderId="2" xfId="2" applyNumberFormat="1" applyFont="1" applyBorder="1"/>
    <xf numFmtId="169" fontId="2" fillId="0" borderId="2" xfId="0" applyNumberFormat="1" applyFont="1" applyBorder="1"/>
    <xf numFmtId="0" fontId="0" fillId="0" borderId="0" xfId="0" applyBorder="1"/>
    <xf numFmtId="171" fontId="0" fillId="0" borderId="0" xfId="1" applyNumberFormat="1" applyFont="1" applyBorder="1"/>
    <xf numFmtId="10" fontId="0" fillId="0" borderId="0" xfId="2" applyNumberFormat="1" applyFont="1" applyBorder="1"/>
    <xf numFmtId="0" fontId="0" fillId="0" borderId="3" xfId="0" applyBorder="1"/>
    <xf numFmtId="169" fontId="0" fillId="0" borderId="3" xfId="0" applyNumberFormat="1" applyBorder="1"/>
    <xf numFmtId="0" fontId="2" fillId="0" borderId="3" xfId="0" applyFont="1" applyBorder="1" applyAlignment="1">
      <alignment horizontal="center"/>
    </xf>
    <xf numFmtId="1" fontId="2" fillId="0" borderId="2" xfId="0" applyNumberFormat="1" applyFont="1" applyBorder="1"/>
    <xf numFmtId="1" fontId="0" fillId="0" borderId="2" xfId="0" applyNumberFormat="1" applyBorder="1"/>
    <xf numFmtId="169" fontId="0" fillId="0" borderId="4" xfId="0" applyNumberFormat="1" applyBorder="1"/>
    <xf numFmtId="171" fontId="0" fillId="0" borderId="4" xfId="1" applyNumberFormat="1" applyFont="1" applyBorder="1"/>
    <xf numFmtId="167" fontId="0" fillId="0" borderId="4" xfId="0" applyNumberFormat="1" applyBorder="1"/>
    <xf numFmtId="169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 vertical="center"/>
    </xf>
    <xf numFmtId="171" fontId="4" fillId="0" borderId="0" xfId="1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4" fillId="0" borderId="0" xfId="0" applyFont="1"/>
    <xf numFmtId="0" fontId="3" fillId="2" borderId="0" xfId="0" applyFont="1" applyFill="1" applyAlignment="1">
      <alignment horizontal="right" vertical="center"/>
    </xf>
    <xf numFmtId="10" fontId="3" fillId="2" borderId="0" xfId="2" applyNumberFormat="1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169" fontId="4" fillId="0" borderId="0" xfId="0" applyNumberFormat="1" applyFont="1"/>
    <xf numFmtId="0" fontId="3" fillId="0" borderId="0" xfId="0" applyFont="1" applyAlignment="1">
      <alignment wrapText="1"/>
    </xf>
    <xf numFmtId="169" fontId="3" fillId="0" borderId="0" xfId="0" applyNumberFormat="1" applyFont="1" applyAlignment="1">
      <alignment wrapText="1"/>
    </xf>
    <xf numFmtId="10" fontId="4" fillId="0" borderId="0" xfId="2" applyNumberFormat="1" applyFont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0" fontId="4" fillId="0" borderId="2" xfId="0" applyFont="1" applyBorder="1"/>
    <xf numFmtId="169" fontId="4" fillId="0" borderId="2" xfId="0" applyNumberFormat="1" applyFont="1" applyBorder="1"/>
    <xf numFmtId="169" fontId="3" fillId="0" borderId="2" xfId="0" applyNumberFormat="1" applyFont="1" applyBorder="1"/>
    <xf numFmtId="0" fontId="3" fillId="0" borderId="3" xfId="0" applyFont="1" applyBorder="1" applyAlignment="1">
      <alignment horizontal="center"/>
    </xf>
    <xf numFmtId="167" fontId="2" fillId="0" borderId="2" xfId="0" applyNumberFormat="1" applyFont="1" applyBorder="1"/>
    <xf numFmtId="0" fontId="2" fillId="6" borderId="0" xfId="0" applyFont="1" applyFill="1" applyAlignment="1">
      <alignment horizontal="center"/>
    </xf>
    <xf numFmtId="10" fontId="2" fillId="6" borderId="0" xfId="2" applyNumberFormat="1" applyFont="1" applyFill="1" applyAlignment="1">
      <alignment horizontal="center"/>
    </xf>
    <xf numFmtId="0" fontId="0" fillId="0" borderId="0" xfId="0" pivotButton="1" applyAlignment="1">
      <alignment horizontal="center"/>
    </xf>
    <xf numFmtId="0" fontId="2" fillId="7" borderId="0" xfId="0" applyFont="1" applyFill="1" applyAlignment="1">
      <alignment horizontal="center"/>
    </xf>
    <xf numFmtId="10" fontId="2" fillId="7" borderId="0" xfId="2" applyNumberFormat="1" applyFont="1" applyFill="1"/>
    <xf numFmtId="0" fontId="2" fillId="7" borderId="0" xfId="0" applyFont="1" applyFill="1"/>
    <xf numFmtId="2" fontId="2" fillId="7" borderId="0" xfId="0" applyNumberFormat="1" applyFont="1" applyFill="1"/>
    <xf numFmtId="2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71" fontId="0" fillId="0" borderId="0" xfId="0" applyNumberFormat="1" applyAlignment="1">
      <alignment horizontal="center"/>
    </xf>
    <xf numFmtId="10" fontId="2" fillId="8" borderId="0" xfId="2" applyNumberFormat="1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/>
    <xf numFmtId="0" fontId="2" fillId="8" borderId="0" xfId="0" applyFont="1" applyFill="1" applyAlignment="1">
      <alignment horizontal="right"/>
    </xf>
    <xf numFmtId="10" fontId="2" fillId="8" borderId="0" xfId="2" applyNumberFormat="1" applyFont="1" applyFill="1" applyAlignment="1">
      <alignment horizontal="right"/>
    </xf>
    <xf numFmtId="169" fontId="2" fillId="3" borderId="0" xfId="0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0">
    <dxf>
      <numFmt numFmtId="169" formatCode="&quot;$&quot;#,##0"/>
    </dxf>
    <dxf>
      <numFmt numFmtId="169" formatCode="&quot;$&quot;#,##0"/>
    </dxf>
    <dxf>
      <numFmt numFmtId="169" formatCode="&quot;$&quot;#,##0"/>
    </dxf>
    <dxf>
      <font>
        <b/>
      </font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horizontal="center"/>
    </dxf>
    <dxf>
      <numFmt numFmtId="169" formatCode="&quot;$&quot;#,##0"/>
    </dxf>
    <dxf>
      <numFmt numFmtId="169" formatCode="&quot;$&quot;#,##0"/>
    </dxf>
    <dxf>
      <numFmt numFmtId="171" formatCode="_(* #,##0_);_(* \(#,##0\);_(* &quot;-&quot;??_);_(@_)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69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11</xdr:col>
      <xdr:colOff>895350</xdr:colOff>
      <xdr:row>33</xdr:row>
      <xdr:rowOff>155227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DE5F5-DDB7-BC7F-F194-C2FF9C03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57550"/>
          <a:ext cx="11210925" cy="32318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5</xdr:col>
      <xdr:colOff>465035</xdr:colOff>
      <xdr:row>40</xdr:row>
      <xdr:rowOff>97769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8F6E7-B9B1-7C8C-6204-EFD3F2799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7969"/>
          <a:ext cx="4953691" cy="99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19</xdr:col>
      <xdr:colOff>29284</xdr:colOff>
      <xdr:row>27</xdr:row>
      <xdr:rowOff>52644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9B9058-8FD9-ED68-0E73-F348A806F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92188" y="3393281"/>
          <a:ext cx="5077534" cy="183858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19</xdr:col>
      <xdr:colOff>488929</xdr:colOff>
      <xdr:row>40</xdr:row>
      <xdr:rowOff>7418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F538F8-9487-FBAA-E763-F639CA18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2188" y="5536406"/>
          <a:ext cx="5534797" cy="19719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ikum Shiferaw" refreshedDate="46300.751976736108" createdVersion="8" refreshedVersion="8" minRefreshableVersion="3" recordCount="55" xr:uid="{D5FB15CE-0349-4D1F-887C-F0B42268DE68}">
  <cacheSource type="worksheet">
    <worksheetSource ref="A1:I56" sheet="Region &amp; Territory"/>
  </cacheSource>
  <cacheFields count="9">
    <cacheField name="Year_Number" numFmtId="0">
      <sharedItems containsSemiMixedTypes="0" containsString="0" containsNumber="1" containsInteger="1" minValue="2011" maxValue="2013" count="3">
        <n v="2013"/>
        <n v="2012"/>
        <n v="2011"/>
      </sharedItems>
    </cacheField>
    <cacheField name="Data_Source" numFmtId="0">
      <sharedItems count="2">
        <s v="ResellerSales"/>
        <s v="InternetSales"/>
      </sharedItems>
    </cacheField>
    <cacheField name="SalesTerritoryRegion" numFmtId="0">
      <sharedItems count="10">
        <s v="Southwest"/>
        <s v="Northwest"/>
        <s v="Canada"/>
        <s v="Australia"/>
        <s v="France"/>
        <s v="Central"/>
        <s v="United Kingdom"/>
        <s v="Southeast"/>
        <s v="Northeast"/>
        <s v="Germany"/>
      </sharedItems>
    </cacheField>
    <cacheField name="SalesTerritoryGroup" numFmtId="0">
      <sharedItems count="3">
        <s v="North America"/>
        <s v="Pacific"/>
        <s v="Europe"/>
      </sharedItems>
    </cacheField>
    <cacheField name="Total Sales" numFmtId="0">
      <sharedItems containsSemiMixedTypes="0" containsString="0" containsNumber="1" minValue="929.41" maxValue="7703501.0756000001"/>
    </cacheField>
    <cacheField name="Units Sold" numFmtId="167">
      <sharedItems containsSemiMixedTypes="0" containsString="0" containsNumber="1" containsInteger="1" minValue="1" maxValue="21690"/>
    </cacheField>
    <cacheField name="Total Orders" numFmtId="0">
      <sharedItems containsSemiMixedTypes="0" containsString="0" containsNumber="1" containsInteger="1" minValue="1" maxValue="4640"/>
    </cacheField>
    <cacheField name="Resellers AOV" numFmtId="0">
      <sharedItems containsSemiMixedTypes="0" containsString="0" containsNumber="1" minValue="116.17619999999999" maxValue="28885.8557"/>
    </cacheField>
    <cacheField name="Gross Profit" numFmtId="0">
      <sharedItems containsSemiMixedTypes="0" containsString="0" containsNumber="1" minValue="-97883.423299999995" maxValue="1742026.4964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x v="0"/>
    <x v="0"/>
    <n v="6377500.7061000001"/>
    <n v="17934"/>
    <n v="289"/>
    <n v="22067.4764"/>
    <n v="-86792.863200000007"/>
  </r>
  <r>
    <x v="0"/>
    <x v="0"/>
    <x v="1"/>
    <x v="0"/>
    <n v="5408834.8784999996"/>
    <n v="14176"/>
    <n v="231"/>
    <n v="23414.869600000002"/>
    <n v="-6127.6463000000003"/>
  </r>
  <r>
    <x v="0"/>
    <x v="0"/>
    <x v="2"/>
    <x v="0"/>
    <n v="5181903.3946000002"/>
    <n v="18196"/>
    <n v="273"/>
    <n v="18981.331099999999"/>
    <n v="-23980.1849"/>
  </r>
  <r>
    <x v="0"/>
    <x v="1"/>
    <x v="3"/>
    <x v="1"/>
    <n v="4339443.38"/>
    <n v="11054"/>
    <n v="4640"/>
    <n v="935.22479999999996"/>
    <n v="1742026.4964000001"/>
  </r>
  <r>
    <x v="0"/>
    <x v="1"/>
    <x v="0"/>
    <x v="0"/>
    <n v="3356890.1"/>
    <n v="10889"/>
    <n v="4319"/>
    <n v="777.23779999999999"/>
    <n v="1409002.9362000001"/>
  </r>
  <r>
    <x v="0"/>
    <x v="0"/>
    <x v="4"/>
    <x v="2"/>
    <n v="3124052.1516999998"/>
    <n v="9543"/>
    <n v="118"/>
    <n v="26475.018199999999"/>
    <n v="-90718.033299999996"/>
  </r>
  <r>
    <x v="0"/>
    <x v="0"/>
    <x v="5"/>
    <x v="0"/>
    <n v="2854442.0452999999"/>
    <n v="8521"/>
    <n v="138"/>
    <n v="20684.3626"/>
    <n v="14849.0962"/>
  </r>
  <r>
    <x v="0"/>
    <x v="0"/>
    <x v="6"/>
    <x v="2"/>
    <n v="2720032.3766999999"/>
    <n v="8350"/>
    <n v="116"/>
    <n v="23448.554899999999"/>
    <n v="-63096.645100000002"/>
  </r>
  <r>
    <x v="0"/>
    <x v="0"/>
    <x v="7"/>
    <x v="0"/>
    <n v="2352416.6611000001"/>
    <n v="7483"/>
    <n v="170"/>
    <n v="13837.745000000001"/>
    <n v="-37240.181900000003"/>
  </r>
  <r>
    <x v="0"/>
    <x v="0"/>
    <x v="8"/>
    <x v="0"/>
    <n v="2207193.8141000001"/>
    <n v="8007"/>
    <n v="135"/>
    <n v="16349.5838"/>
    <n v="-37994.623200000002"/>
  </r>
  <r>
    <x v="0"/>
    <x v="1"/>
    <x v="6"/>
    <x v="2"/>
    <n v="2124007.29"/>
    <n v="6135"/>
    <n v="2377"/>
    <n v="893.56629999999996"/>
    <n v="874317.57270000002"/>
  </r>
  <r>
    <x v="0"/>
    <x v="1"/>
    <x v="1"/>
    <x v="0"/>
    <n v="2091249.51"/>
    <n v="7965"/>
    <n v="3242"/>
    <n v="645.04920000000004"/>
    <n v="884483.38269999996"/>
  </r>
  <r>
    <x v="0"/>
    <x v="0"/>
    <x v="9"/>
    <x v="2"/>
    <n v="1803947.4665999999"/>
    <n v="6624"/>
    <n v="120"/>
    <n v="15032.895500000001"/>
    <n v="-68819.377299999993"/>
  </r>
  <r>
    <x v="0"/>
    <x v="1"/>
    <x v="9"/>
    <x v="2"/>
    <n v="1761876.36"/>
    <n v="4937"/>
    <n v="1909"/>
    <n v="922.93150000000003"/>
    <n v="727939.98959999997"/>
  </r>
  <r>
    <x v="0"/>
    <x v="1"/>
    <x v="4"/>
    <x v="2"/>
    <n v="1578511.8"/>
    <n v="4880"/>
    <n v="1917"/>
    <n v="823.42809999999997"/>
    <n v="652766.73829999997"/>
  </r>
  <r>
    <x v="0"/>
    <x v="0"/>
    <x v="3"/>
    <x v="1"/>
    <n v="1544510.6625000001"/>
    <n v="4824"/>
    <n v="118"/>
    <n v="13089.073399999999"/>
    <n v="-91949.547600000005"/>
  </r>
  <r>
    <x v="0"/>
    <x v="1"/>
    <x v="2"/>
    <x v="0"/>
    <n v="1085632.6499999999"/>
    <n v="6863"/>
    <n v="2856"/>
    <n v="380.1234"/>
    <n v="468777.66600000003"/>
  </r>
  <r>
    <x v="0"/>
    <x v="1"/>
    <x v="7"/>
    <x v="0"/>
    <n v="8526.4699999999993"/>
    <n v="33"/>
    <n v="12"/>
    <n v="710.53909999999996"/>
    <n v="3739.3582999999999"/>
  </r>
  <r>
    <x v="0"/>
    <x v="1"/>
    <x v="8"/>
    <x v="0"/>
    <n v="4483.37"/>
    <n v="26"/>
    <n v="9"/>
    <n v="498.15219999999999"/>
    <n v="1959.4740999999999"/>
  </r>
  <r>
    <x v="0"/>
    <x v="1"/>
    <x v="5"/>
    <x v="0"/>
    <n v="929.41"/>
    <n v="19"/>
    <n v="8"/>
    <n v="116.17619999999999"/>
    <n v="397.35669999999999"/>
  </r>
  <r>
    <x v="1"/>
    <x v="0"/>
    <x v="0"/>
    <x v="0"/>
    <n v="7703501.0756000001"/>
    <n v="21690"/>
    <n v="275"/>
    <n v="28012.731100000001"/>
    <n v="168852.3236"/>
  </r>
  <r>
    <x v="1"/>
    <x v="0"/>
    <x v="2"/>
    <x v="0"/>
    <n v="5478100.1857000003"/>
    <n v="16877"/>
    <n v="251"/>
    <n v="21825.100299999998"/>
    <n v="221170.40669999999"/>
  </r>
  <r>
    <x v="1"/>
    <x v="0"/>
    <x v="1"/>
    <x v="0"/>
    <n v="3466032.8319999999"/>
    <n v="9396"/>
    <n v="179"/>
    <n v="19363.311900000001"/>
    <n v="171626.2378"/>
  </r>
  <r>
    <x v="1"/>
    <x v="0"/>
    <x v="8"/>
    <x v="0"/>
    <n v="3222682.8805999998"/>
    <n v="8772"/>
    <n v="120"/>
    <n v="26855.690600000002"/>
    <n v="107649.3781"/>
  </r>
  <r>
    <x v="1"/>
    <x v="0"/>
    <x v="5"/>
    <x v="0"/>
    <n v="2755562.9544000002"/>
    <n v="7560"/>
    <n v="142"/>
    <n v="19405.372899999998"/>
    <n v="80683.362099999998"/>
  </r>
  <r>
    <x v="1"/>
    <x v="0"/>
    <x v="7"/>
    <x v="0"/>
    <n v="2473607.0699999998"/>
    <n v="7226"/>
    <n v="160"/>
    <n v="15460.044099999999"/>
    <n v="102558.6007"/>
  </r>
  <r>
    <x v="1"/>
    <x v="1"/>
    <x v="3"/>
    <x v="1"/>
    <n v="2128407.4550999999"/>
    <n v="1167"/>
    <n v="1130"/>
    <n v="1883.5463999999999"/>
    <n v="892026.63699999999"/>
  </r>
  <r>
    <x v="1"/>
    <x v="0"/>
    <x v="6"/>
    <x v="2"/>
    <n v="1478289.7574"/>
    <n v="4555"/>
    <n v="69"/>
    <n v="21424.4892"/>
    <n v="73668.894700000004"/>
  </r>
  <r>
    <x v="1"/>
    <x v="0"/>
    <x v="4"/>
    <x v="2"/>
    <n v="1385989.4915"/>
    <n v="4372"/>
    <n v="65"/>
    <n v="21322.915199999999"/>
    <n v="48895.489099999999"/>
  </r>
  <r>
    <x v="1"/>
    <x v="1"/>
    <x v="0"/>
    <x v="0"/>
    <n v="810222.33270000003"/>
    <n v="520"/>
    <n v="497"/>
    <n v="1630.2260000000001"/>
    <n v="342099.5221"/>
  </r>
  <r>
    <x v="1"/>
    <x v="1"/>
    <x v="6"/>
    <x v="2"/>
    <n v="712700.96409999998"/>
    <n v="423"/>
    <n v="405"/>
    <n v="1759.7554"/>
    <n v="291864.2965"/>
  </r>
  <r>
    <x v="1"/>
    <x v="1"/>
    <x v="4"/>
    <x v="2"/>
    <n v="648065.53830000001"/>
    <n v="373"/>
    <n v="359"/>
    <n v="1805.1964"/>
    <n v="265460.29119999998"/>
  </r>
  <r>
    <x v="1"/>
    <x v="1"/>
    <x v="1"/>
    <x v="0"/>
    <n v="619068.47990000003"/>
    <n v="369"/>
    <n v="365"/>
    <n v="1696.078"/>
    <n v="258456.09599999999"/>
  </r>
  <r>
    <x v="1"/>
    <x v="1"/>
    <x v="9"/>
    <x v="2"/>
    <n v="608657.98400000005"/>
    <n v="368"/>
    <n v="339"/>
    <n v="1795.4512"/>
    <n v="248027.1704"/>
  </r>
  <r>
    <x v="1"/>
    <x v="1"/>
    <x v="2"/>
    <x v="0"/>
    <n v="307604.52370000002"/>
    <n v="172"/>
    <n v="169"/>
    <n v="1820.1451"/>
    <n v="126630.0303"/>
  </r>
  <r>
    <x v="1"/>
    <x v="0"/>
    <x v="9"/>
    <x v="2"/>
    <n v="180040.57070000001"/>
    <n v="756"/>
    <n v="9"/>
    <n v="20004.507799999999"/>
    <n v="-42434.321900000003"/>
  </r>
  <r>
    <x v="1"/>
    <x v="0"/>
    <x v="3"/>
    <x v="1"/>
    <n v="49824.714200000002"/>
    <n v="124"/>
    <n v="7"/>
    <n v="7117.8163000000004"/>
    <n v="-16771.334500000001"/>
  </r>
  <r>
    <x v="1"/>
    <x v="1"/>
    <x v="7"/>
    <x v="0"/>
    <n v="3637.3996000000002"/>
    <n v="3"/>
    <n v="3"/>
    <n v="1212.4665"/>
    <n v="1546.1305"/>
  </r>
  <r>
    <x v="1"/>
    <x v="1"/>
    <x v="5"/>
    <x v="0"/>
    <n v="2071.4196000000002"/>
    <n v="1"/>
    <n v="1"/>
    <n v="2071.4196000000002"/>
    <n v="953.56370000000004"/>
  </r>
  <r>
    <x v="1"/>
    <x v="1"/>
    <x v="8"/>
    <x v="0"/>
    <n v="2049.0981999999999"/>
    <n v="1"/>
    <n v="1"/>
    <n v="2049.0981999999999"/>
    <n v="943.28819999999996"/>
  </r>
  <r>
    <x v="2"/>
    <x v="0"/>
    <x v="0"/>
    <x v="0"/>
    <n v="4285400.5773"/>
    <n v="6978"/>
    <n v="180"/>
    <n v="23807.780900000002"/>
    <n v="-97883.423299999995"/>
  </r>
  <r>
    <x v="2"/>
    <x v="0"/>
    <x v="2"/>
    <x v="0"/>
    <n v="3602561.1201999998"/>
    <n v="6462"/>
    <n v="161"/>
    <n v="22376.155999999999"/>
    <n v="-22014.497100000001"/>
  </r>
  <r>
    <x v="2"/>
    <x v="0"/>
    <x v="1"/>
    <x v="0"/>
    <n v="3466302.6845"/>
    <n v="4116"/>
    <n v="120"/>
    <n v="28885.8557"/>
    <n v="50150.076399999998"/>
  </r>
  <r>
    <x v="2"/>
    <x v="0"/>
    <x v="7"/>
    <x v="0"/>
    <n v="2902228.2996999999"/>
    <n v="3957"/>
    <n v="129"/>
    <n v="22497.893700000001"/>
    <n v="47157.947500000002"/>
  </r>
  <r>
    <x v="2"/>
    <x v="1"/>
    <x v="3"/>
    <x v="1"/>
    <n v="2563732.2492999998"/>
    <n v="786"/>
    <n v="786"/>
    <n v="3261.7458000000001"/>
    <n v="1038517.2275"/>
  </r>
  <r>
    <x v="2"/>
    <x v="0"/>
    <x v="5"/>
    <x v="0"/>
    <n v="2276760.1137000001"/>
    <n v="3352"/>
    <n v="92"/>
    <n v="24747.392500000002"/>
    <n v="44180.931600000004"/>
  </r>
  <r>
    <x v="2"/>
    <x v="1"/>
    <x v="0"/>
    <x v="0"/>
    <n v="1531228.4113"/>
    <n v="481"/>
    <n v="481"/>
    <n v="3183.4270000000001"/>
    <n v="611467.65780000004"/>
  </r>
  <r>
    <x v="2"/>
    <x v="0"/>
    <x v="8"/>
    <x v="0"/>
    <n v="1481366.9346"/>
    <n v="2986"/>
    <n v="83"/>
    <n v="17847.794300000001"/>
    <n v="7506.5042999999996"/>
  </r>
  <r>
    <x v="2"/>
    <x v="1"/>
    <x v="1"/>
    <x v="0"/>
    <n v="927056.76130000001"/>
    <n v="289"/>
    <n v="289"/>
    <n v="3207.8087999999998"/>
    <n v="370127.73729999998"/>
  </r>
  <r>
    <x v="2"/>
    <x v="1"/>
    <x v="2"/>
    <x v="0"/>
    <n v="571571.79839999997"/>
    <n v="170"/>
    <n v="170"/>
    <n v="3362.1869999999999"/>
    <n v="227704.19190000001"/>
  </r>
  <r>
    <x v="2"/>
    <x v="1"/>
    <x v="6"/>
    <x v="2"/>
    <n v="550591.21860000002"/>
    <n v="175"/>
    <n v="175"/>
    <n v="3146.2354999999998"/>
    <n v="222003.4559"/>
  </r>
  <r>
    <x v="2"/>
    <x v="1"/>
    <x v="9"/>
    <x v="2"/>
    <n v="520500.1642"/>
    <n v="175"/>
    <n v="175"/>
    <n v="2974.2865999999999"/>
    <n v="209514.3965"/>
  </r>
  <r>
    <x v="2"/>
    <x v="1"/>
    <x v="4"/>
    <x v="2"/>
    <n v="410845.326"/>
    <n v="140"/>
    <n v="140"/>
    <n v="2934.6093999999998"/>
    <n v="164729.07120000001"/>
  </r>
  <r>
    <x v="2"/>
    <x v="0"/>
    <x v="4"/>
    <x v="2"/>
    <n v="97496.291800000006"/>
    <n v="433"/>
    <n v="5"/>
    <n v="19499.258300000001"/>
    <n v="4512.9404000000004"/>
  </r>
  <r>
    <x v="2"/>
    <x v="0"/>
    <x v="6"/>
    <x v="2"/>
    <n v="80686.692500000005"/>
    <n v="288"/>
    <n v="3"/>
    <n v="26895.5641"/>
    <n v="-4190.3423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6B367-0377-4206-B949-8A271E984A71}" name="PivotTable10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V41:X53" firstHeaderRow="1" firstDataRow="2" firstDataCol="1"/>
  <pivotFields count="9">
    <pivotField axis="axisCol" showAll="0" sortType="descending">
      <items count="4">
        <item x="0"/>
        <item x="1"/>
        <item h="1" x="2"/>
        <item t="default"/>
      </items>
    </pivotField>
    <pivotField showAll="0"/>
    <pivotField axis="axisRow" showAll="0">
      <items count="11">
        <item x="3"/>
        <item x="2"/>
        <item x="5"/>
        <item x="4"/>
        <item x="9"/>
        <item x="8"/>
        <item x="1"/>
        <item x="7"/>
        <item x="0"/>
        <item x="6"/>
        <item t="default"/>
      </items>
    </pivotField>
    <pivotField showAll="0"/>
    <pivotField dataField="1" showAll="0"/>
    <pivotField showAll="0"/>
    <pivotField numFmtId="167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2">
    <i>
      <x/>
    </i>
    <i>
      <x v="1"/>
    </i>
  </colItems>
  <dataFields count="1">
    <dataField name="Sum of Total Sales" fld="4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4CFBB-CB9F-4AF6-918B-032B0827C7AF}" name="PivotTable9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O41:Q54" firstHeaderRow="1" firstDataRow="3" firstDataCol="1"/>
  <pivotFields count="9">
    <pivotField axis="axisCol" showAll="0" sortType="descending">
      <items count="4">
        <item x="0"/>
        <item h="1" x="1"/>
        <item h="1" x="2"/>
        <item t="default"/>
      </items>
    </pivotField>
    <pivotField showAll="0"/>
    <pivotField axis="axisRow" showAll="0">
      <items count="11">
        <item x="3"/>
        <item x="2"/>
        <item x="5"/>
        <item x="4"/>
        <item x="9"/>
        <item x="8"/>
        <item x="1"/>
        <item x="7"/>
        <item x="0"/>
        <item x="6"/>
        <item t="default"/>
      </items>
    </pivotField>
    <pivotField showAll="0"/>
    <pivotField dataField="1" showAll="0"/>
    <pivotField showAll="0"/>
    <pivotField numFmtId="167"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Sum of Total Sales" fld="4" baseField="0" baseItem="0"/>
    <dataField name="Sum of Gross Profit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0B9BE-0B36-4C26-89A6-DC5816615F64}" name="PivotTable8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K41:M46" firstHeaderRow="1" firstDataRow="2" firstDataCol="1"/>
  <pivotFields count="9">
    <pivotField axis="axisCol" showAll="0" sortType="descending">
      <items count="4">
        <item x="0"/>
        <item x="1"/>
        <item h="1" x="2"/>
        <item t="default"/>
      </items>
    </pivotField>
    <pivotField showAll="0"/>
    <pivotField showAll="0">
      <items count="11">
        <item x="3"/>
        <item x="2"/>
        <item x="5"/>
        <item x="4"/>
        <item x="9"/>
        <item x="8"/>
        <item x="1"/>
        <item x="7"/>
        <item x="0"/>
        <item x="6"/>
        <item t="default"/>
      </items>
    </pivotField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dataField="1" showAll="0"/>
    <pivotField showAll="0"/>
    <pivotField numFmtId="167" showAll="0"/>
    <pivotField showAll="0"/>
    <pivotField showAll="0"/>
  </pivotFields>
  <rowFields count="1">
    <field x="3"/>
  </rowFields>
  <rowItems count="4">
    <i>
      <x v="1"/>
    </i>
    <i>
      <x/>
    </i>
    <i>
      <x v="2"/>
    </i>
    <i t="grand">
      <x/>
    </i>
  </rowItems>
  <colFields count="1">
    <field x="0"/>
  </colFields>
  <colItems count="2">
    <i>
      <x/>
    </i>
    <i>
      <x v="1"/>
    </i>
  </colItems>
  <dataFields count="1">
    <dataField name="Sum of Total Sales" fld="4" baseField="0" baseItem="0" numFmtId="16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99AAF-FE1D-48AF-B056-6CC823C1A32B}" name="PivotTable7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erritory">
  <location ref="O23:S36" firstHeaderRow="1" firstDataRow="3" firstDataCol="1"/>
  <pivotFields count="9">
    <pivotField axis="axisCol" showAll="0" sortType="descending" defaultSubtotal="0">
      <items count="3">
        <item x="0"/>
        <item x="1"/>
        <item h="1" x="2"/>
      </items>
    </pivotField>
    <pivotField axis="axisCol" showAll="0">
      <items count="3">
        <item x="1"/>
        <item x="0"/>
        <item t="default"/>
      </items>
    </pivotField>
    <pivotField axis="axisRow" showAll="0">
      <items count="11">
        <item x="3"/>
        <item x="2"/>
        <item x="5"/>
        <item x="4"/>
        <item x="9"/>
        <item x="8"/>
        <item x="1"/>
        <item x="7"/>
        <item x="0"/>
        <item x="6"/>
        <item t="default"/>
      </items>
    </pivotField>
    <pivotField showAll="0"/>
    <pivotField dataField="1" showAll="0"/>
    <pivotField showAll="0"/>
    <pivotField numFmtId="167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0"/>
    <field x="1"/>
  </colFields>
  <colItems count="4">
    <i>
      <x/>
      <x/>
    </i>
    <i r="1">
      <x v="1"/>
    </i>
    <i>
      <x v="1"/>
      <x/>
    </i>
    <i r="1">
      <x v="1"/>
    </i>
  </colItems>
  <dataFields count="1">
    <dataField name="Sum of Total Sales" fld="4" baseField="0" baseItem="0" numFmtId="169"/>
  </dataFields>
  <formats count="6">
    <format dxfId="8">
      <pivotArea outline="0" collapsedLevelsAreSubtotals="1" fieldPosition="0"/>
    </format>
    <format dxfId="7">
      <pivotArea outline="0" collapsedLevelsAreSubtotals="1" fieldPosition="0">
        <references count="2">
          <reference field="0" count="1" selected="0">
            <x v="0"/>
          </reference>
          <reference field="1" count="0" selected="0"/>
        </references>
      </pivotArea>
    </format>
    <format dxfId="6">
      <pivotArea dataOnly="0" labelOnly="1" fieldPosition="0">
        <references count="1">
          <reference field="0" count="1">
            <x v="0"/>
          </reference>
        </references>
      </pivotArea>
    </format>
    <format dxfId="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">
      <pivotArea field="1" grandRow="1" outline="0" collapsedLevelsAreSubtotals="1" axis="axisCol" fieldPosition="1">
        <references count="2">
          <reference field="0" count="1" selected="0">
            <x v="0"/>
          </reference>
          <reference field="1" count="0" selected="0"/>
        </references>
      </pivotArea>
    </format>
    <format dxfId="3">
      <pivotArea field="1" grandRow="1" outline="0" collapsedLevelsAreSubtotals="1" axis="axisCol" fieldPosition="1">
        <references count="2">
          <reference field="0" count="1" selected="0">
            <x v="0"/>
          </reference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A6B88-155A-4010-AF9F-4FFB8ADB15E6}" name="PivotTable6" cacheId="4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K23:M35" firstHeaderRow="1" firstDataRow="2" firstDataCol="1"/>
  <pivotFields count="9">
    <pivotField axis="axisCol" showAll="0" sortType="descending">
      <items count="4">
        <item x="0"/>
        <item x="1"/>
        <item h="1" x="2"/>
        <item t="default"/>
      </items>
    </pivotField>
    <pivotField showAll="0"/>
    <pivotField axis="axisRow" showAll="0">
      <items count="11">
        <item x="3"/>
        <item x="2"/>
        <item x="5"/>
        <item x="4"/>
        <item x="9"/>
        <item x="8"/>
        <item x="1"/>
        <item x="7"/>
        <item x="0"/>
        <item x="6"/>
        <item t="default"/>
      </items>
    </pivotField>
    <pivotField showAll="0"/>
    <pivotField dataField="1" showAll="0"/>
    <pivotField showAll="0"/>
    <pivotField numFmtId="167"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2">
    <i>
      <x/>
    </i>
    <i>
      <x v="1"/>
    </i>
  </colItems>
  <dataFields count="1">
    <dataField name="Sum of Total Sales" fld="4" baseField="0" baseItem="0" numFmtId="169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CC216-550A-491E-9989-6C2CCDB57F02}" name="PivotTable4" cacheId="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r">
  <location ref="K3:O12" firstHeaderRow="0" firstDataRow="1" firstDataCol="1"/>
  <pivotFields count="9">
    <pivotField axis="axisRow" showAll="0" sortType="descending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dataField="1" showAll="0"/>
    <pivotField dataField="1" numFmtId="167" showAll="0"/>
    <pivotField showAll="0"/>
    <pivotField dataField="1" showAll="0"/>
  </pivotFields>
  <rowFields count="2">
    <field x="0"/>
    <field x="1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" fld="4" baseField="0" baseItem="0" numFmtId="169"/>
    <dataField name="Sum of Gross Profit" fld="8" baseField="0" baseItem="0"/>
    <dataField name="Sum of Total Orders" fld="6" baseField="0" baseItem="0" numFmtId="171"/>
    <dataField name="Sum of Units Sold" fld="5" baseField="0" baseItem="0" numFmtId="171"/>
  </dataFields>
  <formats count="10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3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2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11">
      <pivotArea dataOnly="0" labelOnly="1" outline="0" axis="axisValues" fieldPosition="0"/>
    </format>
    <format dxfId="10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2175-249C-4696-8065-511ADBB1D997}">
  <dimension ref="A1:R16"/>
  <sheetViews>
    <sheetView tabSelected="1" zoomScale="80" zoomScaleNormal="80" workbookViewId="0">
      <selection activeCell="P13" sqref="P13"/>
    </sheetView>
  </sheetViews>
  <sheetFormatPr defaultRowHeight="14.4" x14ac:dyDescent="0.3"/>
  <cols>
    <col min="1" max="1" width="12.6640625" bestFit="1" customWidth="1"/>
    <col min="2" max="2" width="15.5546875" bestFit="1" customWidth="1"/>
    <col min="3" max="3" width="13" bestFit="1" customWidth="1"/>
    <col min="4" max="4" width="13" style="4" bestFit="1" customWidth="1"/>
    <col min="5" max="5" width="11.109375" style="4" bestFit="1" customWidth="1"/>
    <col min="6" max="6" width="11.6640625" bestFit="1" customWidth="1"/>
    <col min="7" max="7" width="17.44140625" style="4" bestFit="1" customWidth="1"/>
    <col min="8" max="8" width="18.33203125" bestFit="1" customWidth="1"/>
    <col min="9" max="9" width="13.44140625" bestFit="1" customWidth="1"/>
    <col min="10" max="10" width="10.5546875" bestFit="1" customWidth="1"/>
    <col min="11" max="11" width="13.44140625" bestFit="1" customWidth="1"/>
    <col min="12" max="12" width="19.44140625" bestFit="1" customWidth="1"/>
    <col min="13" max="13" width="18.88671875" bestFit="1" customWidth="1"/>
    <col min="14" max="14" width="10.5546875" bestFit="1" customWidth="1"/>
  </cols>
  <sheetData>
    <row r="1" spans="1:18" s="5" customFormat="1" x14ac:dyDescent="0.3">
      <c r="A1" s="5" t="s">
        <v>1</v>
      </c>
      <c r="B1" s="5" t="s">
        <v>2</v>
      </c>
      <c r="C1" s="5" t="s">
        <v>3</v>
      </c>
      <c r="D1" s="6" t="s">
        <v>4</v>
      </c>
      <c r="E1" s="6" t="s">
        <v>5</v>
      </c>
      <c r="F1" s="5" t="s">
        <v>6</v>
      </c>
      <c r="G1" s="6" t="s">
        <v>9</v>
      </c>
      <c r="H1" s="6" t="s">
        <v>21</v>
      </c>
      <c r="I1" s="6"/>
      <c r="J1" s="6"/>
      <c r="K1" s="5" t="s">
        <v>10</v>
      </c>
      <c r="L1" s="5" t="s">
        <v>13</v>
      </c>
      <c r="M1" s="5" t="s">
        <v>14</v>
      </c>
      <c r="N1"/>
      <c r="O1"/>
      <c r="P1"/>
      <c r="Q1"/>
      <c r="R1"/>
    </row>
    <row r="2" spans="1:18" x14ac:dyDescent="0.3">
      <c r="A2" t="s">
        <v>7</v>
      </c>
      <c r="B2">
        <v>2013</v>
      </c>
      <c r="C2" s="3">
        <v>16351550.34</v>
      </c>
      <c r="D2" s="4">
        <v>21289</v>
      </c>
      <c r="E2" s="4">
        <v>52801</v>
      </c>
      <c r="F2" s="3">
        <v>6765410.9709999999</v>
      </c>
      <c r="G2" s="6">
        <v>17429</v>
      </c>
      <c r="H2" s="23">
        <v>9586139.3690000009</v>
      </c>
      <c r="I2" s="4"/>
      <c r="J2" s="4"/>
      <c r="K2" s="1">
        <f>F2/C2</f>
        <v>0.41374737137004708</v>
      </c>
      <c r="L2" s="2">
        <f>C2/E2</f>
        <v>309.68258820855664</v>
      </c>
      <c r="M2" s="2">
        <f>C2/D2</f>
        <v>768.07507820940396</v>
      </c>
    </row>
    <row r="3" spans="1:18" x14ac:dyDescent="0.3">
      <c r="A3" t="s">
        <v>8</v>
      </c>
      <c r="B3">
        <v>2013</v>
      </c>
      <c r="C3" s="3">
        <v>33574834.157200001</v>
      </c>
      <c r="D3" s="4">
        <v>1708</v>
      </c>
      <c r="E3" s="4">
        <v>103658</v>
      </c>
      <c r="F3" s="3">
        <v>-491870.00660000002</v>
      </c>
      <c r="G3" s="6">
        <v>489</v>
      </c>
      <c r="H3" s="23">
        <v>34066704.163800001</v>
      </c>
      <c r="I3" s="4"/>
      <c r="J3" s="4"/>
      <c r="K3" s="1">
        <f>F3/C3</f>
        <v>-1.4649960869412672E-2</v>
      </c>
      <c r="L3" s="2">
        <f t="shared" ref="L3:L7" si="0">C3/E3</f>
        <v>323.90007676397386</v>
      </c>
      <c r="M3" s="2">
        <f>C3/D3</f>
        <v>19657.397047540984</v>
      </c>
    </row>
    <row r="4" spans="1:18" s="5" customFormat="1" x14ac:dyDescent="0.3">
      <c r="A4" s="7"/>
      <c r="B4" s="7"/>
      <c r="C4" s="8">
        <f>SUM(C2:C3)</f>
        <v>49926384.497199997</v>
      </c>
      <c r="D4" s="9">
        <f>SUM(D2:D3)</f>
        <v>22997</v>
      </c>
      <c r="E4" s="9">
        <f>SUM(E2:E3)</f>
        <v>156459</v>
      </c>
      <c r="F4" s="8">
        <f>SUM(F2:F3)</f>
        <v>6273540.9643999999</v>
      </c>
      <c r="G4" s="8"/>
      <c r="H4" s="8">
        <f t="shared" ref="H4" si="1">SUM(H2:H3)</f>
        <v>43652843.532800004</v>
      </c>
      <c r="I4" s="9"/>
      <c r="J4" s="9"/>
      <c r="K4" s="10">
        <f>F4/C4</f>
        <v>0.12565582362071173</v>
      </c>
      <c r="L4" s="15">
        <f t="shared" si="0"/>
        <v>319.10202990687657</v>
      </c>
      <c r="M4" s="15">
        <f>C4/D4</f>
        <v>2170.9955427751443</v>
      </c>
      <c r="N4"/>
      <c r="O4"/>
      <c r="P4"/>
      <c r="Q4"/>
      <c r="R4"/>
    </row>
    <row r="5" spans="1:18" x14ac:dyDescent="0.3">
      <c r="A5" t="s">
        <v>7</v>
      </c>
      <c r="B5">
        <v>2012</v>
      </c>
      <c r="C5" s="3">
        <v>5842485.1952</v>
      </c>
      <c r="D5" s="4">
        <v>3269</v>
      </c>
      <c r="E5" s="4">
        <v>3397</v>
      </c>
      <c r="F5" s="3">
        <v>2428007.0258999998</v>
      </c>
      <c r="G5" s="6">
        <v>3255</v>
      </c>
      <c r="H5" s="23">
        <v>3414478.1693000002</v>
      </c>
      <c r="I5" s="4"/>
      <c r="J5" s="4"/>
      <c r="K5" s="1">
        <f>F5/C5</f>
        <v>0.41557777979390914</v>
      </c>
      <c r="L5" s="2">
        <f t="shared" si="0"/>
        <v>1719.8955534883721</v>
      </c>
      <c r="M5" s="2">
        <f>C5/D5</f>
        <v>1787.2392765983482</v>
      </c>
    </row>
    <row r="6" spans="1:18" x14ac:dyDescent="0.3">
      <c r="A6" t="s">
        <v>8</v>
      </c>
      <c r="B6">
        <v>2012</v>
      </c>
      <c r="C6" s="3">
        <v>28193631.532099999</v>
      </c>
      <c r="D6" s="4">
        <v>1277</v>
      </c>
      <c r="E6" s="4">
        <v>81328</v>
      </c>
      <c r="F6" s="3">
        <v>915899.03639999998</v>
      </c>
      <c r="G6" s="6">
        <v>401</v>
      </c>
      <c r="H6" s="23">
        <v>27277732.495700002</v>
      </c>
      <c r="I6" s="4"/>
      <c r="J6" s="4"/>
      <c r="K6" s="1">
        <f>F6/C6</f>
        <v>3.2486025624517315E-2</v>
      </c>
      <c r="L6" s="2">
        <f t="shared" si="0"/>
        <v>346.66574282043086</v>
      </c>
      <c r="M6" s="2">
        <f>C6/D6</f>
        <v>22078.019993813625</v>
      </c>
    </row>
    <row r="7" spans="1:18" s="5" customFormat="1" x14ac:dyDescent="0.3">
      <c r="A7" s="7"/>
      <c r="B7" s="7"/>
      <c r="C7" s="8">
        <f>SUM(C5:C6)</f>
        <v>34036116.727300003</v>
      </c>
      <c r="D7" s="9">
        <f>SUM(D5:D6)</f>
        <v>4546</v>
      </c>
      <c r="E7" s="9">
        <f>SUM(E5:E6)</f>
        <v>84725</v>
      </c>
      <c r="F7" s="8">
        <f>SUM(F5:F6)</f>
        <v>3343906.0622999999</v>
      </c>
      <c r="G7" s="8"/>
      <c r="H7" s="8">
        <f t="shared" ref="H7" si="2">SUM(H5:H6)</f>
        <v>30692210.665000003</v>
      </c>
      <c r="I7" s="9"/>
      <c r="J7" s="9"/>
      <c r="K7" s="10">
        <f>F7/C7</f>
        <v>9.8245816028063176E-2</v>
      </c>
      <c r="L7" s="15">
        <f t="shared" si="0"/>
        <v>401.72459990911779</v>
      </c>
      <c r="M7" s="15">
        <f>C7/D7</f>
        <v>7487.0472343378806</v>
      </c>
      <c r="N7"/>
      <c r="O7"/>
      <c r="P7"/>
      <c r="Q7"/>
      <c r="R7"/>
    </row>
    <row r="8" spans="1:18" x14ac:dyDescent="0.3">
      <c r="H8" s="4"/>
      <c r="I8" s="4"/>
      <c r="J8" s="4"/>
      <c r="K8" s="12" t="s">
        <v>16</v>
      </c>
      <c r="M8" s="2"/>
    </row>
    <row r="9" spans="1:18" x14ac:dyDescent="0.3">
      <c r="A9" s="18" t="s">
        <v>7</v>
      </c>
      <c r="B9" s="18"/>
      <c r="C9" s="16">
        <f>IFERROR((C2-C5)/C5,0)</f>
        <v>1.7987320110684941</v>
      </c>
      <c r="D9" s="16">
        <f t="shared" ref="D9:H9" si="3">IFERROR((D2-D5)/D5,0)</f>
        <v>5.5123891098195168</v>
      </c>
      <c r="E9" s="16">
        <f t="shared" si="3"/>
        <v>14.543420665292906</v>
      </c>
      <c r="F9" s="16">
        <f t="shared" si="3"/>
        <v>1.7864050222392729</v>
      </c>
      <c r="G9" s="16">
        <f t="shared" si="3"/>
        <v>4.3545314900153613</v>
      </c>
      <c r="H9" s="16">
        <f t="shared" si="3"/>
        <v>1.807497630293899</v>
      </c>
      <c r="I9" s="16"/>
      <c r="J9" s="16"/>
      <c r="K9" s="19">
        <f>(IFERROR((K2-K5),0))*100</f>
        <v>-0.18304084238620622</v>
      </c>
      <c r="L9" s="16">
        <f t="shared" ref="L9:M9" si="4">IFERROR((L2-L5)/L5,0)</f>
        <v>-0.81994104957103708</v>
      </c>
      <c r="M9" s="16">
        <f t="shared" si="4"/>
        <v>-0.57024496480891973</v>
      </c>
    </row>
    <row r="10" spans="1:18" x14ac:dyDescent="0.3">
      <c r="A10" s="18" t="s">
        <v>8</v>
      </c>
      <c r="B10" s="18"/>
      <c r="C10" s="16">
        <f t="shared" ref="C10:C11" si="5">IFERROR((C3-C6)/C6,0)</f>
        <v>0.19086589178741328</v>
      </c>
      <c r="D10" s="16">
        <f t="shared" ref="D10:H10" si="6">IFERROR((D3-D6)/D6,0)</f>
        <v>0.33750978856695379</v>
      </c>
      <c r="E10" s="16">
        <f t="shared" si="6"/>
        <v>0.27456718473342512</v>
      </c>
      <c r="F10" s="16">
        <f t="shared" si="6"/>
        <v>-1.5370351829753275</v>
      </c>
      <c r="G10" s="16">
        <f t="shared" si="6"/>
        <v>0.21945137157107231</v>
      </c>
      <c r="H10" s="16">
        <f t="shared" si="6"/>
        <v>0.24888328489804631</v>
      </c>
      <c r="I10" s="16"/>
      <c r="J10" s="16"/>
      <c r="K10" s="19">
        <f t="shared" ref="K10:K11" si="7">(IFERROR((K3-K6),0))*100</f>
        <v>-4.7135986493929982</v>
      </c>
      <c r="L10" s="16">
        <f t="shared" ref="L10:M10" si="8">IFERROR((L3-L6)/L6,0)</f>
        <v>-6.5670365555126051E-2</v>
      </c>
      <c r="M10" s="16">
        <f t="shared" si="8"/>
        <v>-0.10963949425496089</v>
      </c>
    </row>
    <row r="11" spans="1:18" x14ac:dyDescent="0.3">
      <c r="A11" s="17" t="s">
        <v>11</v>
      </c>
      <c r="B11" s="17"/>
      <c r="C11" s="16">
        <f t="shared" si="5"/>
        <v>0.46686488641504104</v>
      </c>
      <c r="D11" s="16">
        <f t="shared" ref="D11:H11" si="9">IFERROR((D4-D7)/D7,0)</f>
        <v>4.0587329520457542</v>
      </c>
      <c r="E11" s="16">
        <f t="shared" si="9"/>
        <v>0.84666863381528479</v>
      </c>
      <c r="F11" s="16">
        <f t="shared" si="9"/>
        <v>0.87611160347158301</v>
      </c>
      <c r="G11" s="16"/>
      <c r="H11" s="16">
        <f t="shared" si="9"/>
        <v>0.42227759379286794</v>
      </c>
      <c r="I11" s="16"/>
      <c r="J11" s="16"/>
      <c r="K11" s="19">
        <f t="shared" si="7"/>
        <v>2.7410007592648555</v>
      </c>
      <c r="L11" s="16">
        <f t="shared" ref="L11:M11" si="10">IFERROR((L4-L7)/L7,0)</f>
        <v>-0.20566968022603777</v>
      </c>
      <c r="M11" s="16">
        <f t="shared" si="10"/>
        <v>-0.71003314459960964</v>
      </c>
    </row>
    <row r="12" spans="1:18" x14ac:dyDescent="0.3">
      <c r="H12" s="14" t="s">
        <v>22</v>
      </c>
      <c r="I12" s="14"/>
    </row>
    <row r="13" spans="1:18" x14ac:dyDescent="0.3">
      <c r="G13"/>
      <c r="H13" s="11" t="s">
        <v>2</v>
      </c>
      <c r="I13" s="7" t="s">
        <v>15</v>
      </c>
    </row>
    <row r="14" spans="1:18" x14ac:dyDescent="0.3">
      <c r="G14"/>
      <c r="H14" s="11">
        <v>2013</v>
      </c>
      <c r="I14" s="7">
        <v>183</v>
      </c>
    </row>
    <row r="15" spans="1:18" x14ac:dyDescent="0.3">
      <c r="G15"/>
      <c r="H15" s="11">
        <v>2012</v>
      </c>
      <c r="I15" s="7">
        <v>286</v>
      </c>
    </row>
    <row r="16" spans="1:18" x14ac:dyDescent="0.3">
      <c r="G16"/>
      <c r="H16" s="11" t="s">
        <v>11</v>
      </c>
      <c r="I16" s="10">
        <f>(I14-I15)/I15</f>
        <v>-0.36013986013986016</v>
      </c>
    </row>
  </sheetData>
  <mergeCells count="4">
    <mergeCell ref="A11:B11"/>
    <mergeCell ref="A9:B9"/>
    <mergeCell ref="A10:B10"/>
    <mergeCell ref="H12:I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7542-4197-4648-BADC-5F6B60458428}">
  <dimension ref="A1:P17"/>
  <sheetViews>
    <sheetView workbookViewId="0">
      <selection activeCell="F19" sqref="F19"/>
    </sheetView>
  </sheetViews>
  <sheetFormatPr defaultRowHeight="14.4" x14ac:dyDescent="0.3"/>
  <cols>
    <col min="1" max="1" width="11.88671875" bestFit="1" customWidth="1"/>
    <col min="2" max="2" width="12.21875" bestFit="1" customWidth="1"/>
    <col min="3" max="3" width="12.33203125" bestFit="1" customWidth="1"/>
    <col min="4" max="4" width="12.44140625" bestFit="1" customWidth="1"/>
    <col min="5" max="5" width="10.77734375" bestFit="1" customWidth="1"/>
    <col min="6" max="6" width="10.6640625" bestFit="1" customWidth="1"/>
    <col min="7" max="7" width="16.21875" bestFit="1" customWidth="1"/>
    <col min="8" max="8" width="17.33203125" bestFit="1" customWidth="1"/>
    <col min="9" max="9" width="12.88671875" bestFit="1" customWidth="1"/>
    <col min="10" max="10" width="18.44140625" bestFit="1" customWidth="1"/>
    <col min="11" max="11" width="17.88671875" bestFit="1" customWidth="1"/>
    <col min="12" max="12" width="18.44140625" bestFit="1" customWidth="1"/>
    <col min="13" max="13" width="17.88671875" bestFit="1" customWidth="1"/>
  </cols>
  <sheetData>
    <row r="1" spans="1:16" s="5" customFormat="1" x14ac:dyDescent="0.3">
      <c r="A1" s="5" t="s">
        <v>1</v>
      </c>
      <c r="B1" s="5" t="s">
        <v>2</v>
      </c>
      <c r="C1" s="5" t="s">
        <v>3</v>
      </c>
      <c r="D1" s="6" t="s">
        <v>4</v>
      </c>
      <c r="E1" s="6" t="s">
        <v>5</v>
      </c>
      <c r="F1" s="5" t="s">
        <v>6</v>
      </c>
      <c r="G1" s="6" t="s">
        <v>9</v>
      </c>
      <c r="H1" s="6" t="s">
        <v>21</v>
      </c>
      <c r="I1" s="5" t="s">
        <v>10</v>
      </c>
      <c r="J1" s="5" t="s">
        <v>13</v>
      </c>
      <c r="K1" s="5" t="s">
        <v>14</v>
      </c>
      <c r="L1"/>
      <c r="M1"/>
      <c r="N1"/>
      <c r="O1"/>
      <c r="P1"/>
    </row>
    <row r="2" spans="1:16" x14ac:dyDescent="0.3">
      <c r="A2" t="s">
        <v>7</v>
      </c>
      <c r="B2">
        <v>2013</v>
      </c>
      <c r="C2" s="3">
        <v>16351550.34</v>
      </c>
      <c r="D2" s="4">
        <v>21289</v>
      </c>
      <c r="E2" s="4">
        <v>52801</v>
      </c>
      <c r="F2" s="3">
        <v>6765410.9709999999</v>
      </c>
      <c r="G2" s="6">
        <v>17429</v>
      </c>
      <c r="H2" s="23">
        <v>9586139.3690000009</v>
      </c>
      <c r="I2" s="1">
        <f>F2/C2</f>
        <v>0.41374737137004708</v>
      </c>
      <c r="J2" s="2">
        <f>C2/E2</f>
        <v>309.68258820855664</v>
      </c>
      <c r="K2" s="2">
        <f>C2/D2</f>
        <v>768.07507820940396</v>
      </c>
    </row>
    <row r="3" spans="1:16" x14ac:dyDescent="0.3">
      <c r="A3" t="s">
        <v>8</v>
      </c>
      <c r="B3">
        <v>2013</v>
      </c>
      <c r="C3" s="3">
        <v>33574834.157200001</v>
      </c>
      <c r="D3" s="4">
        <v>1708</v>
      </c>
      <c r="E3" s="4">
        <v>103658</v>
      </c>
      <c r="F3" s="3">
        <v>-491870.00660000002</v>
      </c>
      <c r="G3" s="6">
        <v>489</v>
      </c>
      <c r="H3" s="23">
        <v>34066704.163800001</v>
      </c>
      <c r="I3" s="1">
        <f>F3/C3</f>
        <v>-1.4649960869412672E-2</v>
      </c>
      <c r="J3" s="2">
        <f>C3/E3</f>
        <v>323.90007676397386</v>
      </c>
      <c r="K3" s="2">
        <f>C3/D3</f>
        <v>19657.397047540984</v>
      </c>
    </row>
    <row r="4" spans="1:16" s="5" customFormat="1" x14ac:dyDescent="0.3">
      <c r="A4" s="7"/>
      <c r="B4" s="7"/>
      <c r="C4" s="8">
        <f>SUM(C2:C3)</f>
        <v>49926384.497199997</v>
      </c>
      <c r="D4" s="9">
        <f>SUM(D2:D3)</f>
        <v>22997</v>
      </c>
      <c r="E4" s="9">
        <f>SUM(E2:E3)</f>
        <v>156459</v>
      </c>
      <c r="F4" s="8">
        <f>SUM(F2:F3)</f>
        <v>6273540.9643999999</v>
      </c>
      <c r="G4" s="8"/>
      <c r="H4" s="8">
        <f t="shared" ref="H4" si="0">SUM(H2:H3)</f>
        <v>43652843.532800004</v>
      </c>
      <c r="I4" s="10">
        <f>F4/C4</f>
        <v>0.12565582362071173</v>
      </c>
      <c r="J4" s="15">
        <f>C4/E4</f>
        <v>319.10202990687657</v>
      </c>
      <c r="K4" s="15">
        <f>C4/D4</f>
        <v>2170.9955427751443</v>
      </c>
      <c r="L4"/>
      <c r="M4"/>
      <c r="N4"/>
      <c r="O4"/>
      <c r="P4"/>
    </row>
    <row r="5" spans="1:16" x14ac:dyDescent="0.3">
      <c r="A5" t="s">
        <v>7</v>
      </c>
      <c r="B5">
        <v>2012</v>
      </c>
      <c r="C5" s="3">
        <v>5842485.1952</v>
      </c>
      <c r="D5" s="4">
        <v>3269</v>
      </c>
      <c r="E5" s="4">
        <v>3397</v>
      </c>
      <c r="F5" s="3">
        <v>2428007.0258999998</v>
      </c>
      <c r="G5" s="6">
        <v>3255</v>
      </c>
      <c r="H5" s="23">
        <v>3414478.1693000002</v>
      </c>
      <c r="I5" s="1">
        <f>F5/C5</f>
        <v>0.41557777979390914</v>
      </c>
      <c r="J5" s="2">
        <f>C5/E5</f>
        <v>1719.8955534883721</v>
      </c>
      <c r="K5" s="2">
        <f>C5/D5</f>
        <v>1787.2392765983482</v>
      </c>
    </row>
    <row r="6" spans="1:16" x14ac:dyDescent="0.3">
      <c r="A6" t="s">
        <v>8</v>
      </c>
      <c r="B6">
        <v>2012</v>
      </c>
      <c r="C6" s="3">
        <v>28193631.532099999</v>
      </c>
      <c r="D6" s="4">
        <v>1277</v>
      </c>
      <c r="E6" s="4">
        <v>81328</v>
      </c>
      <c r="F6" s="3">
        <v>915899.03639999998</v>
      </c>
      <c r="G6" s="6">
        <v>401</v>
      </c>
      <c r="H6" s="23">
        <v>27277732.495700002</v>
      </c>
      <c r="I6" s="1">
        <f>F6/C6</f>
        <v>3.2486025624517315E-2</v>
      </c>
      <c r="J6" s="2">
        <f>C6/E6</f>
        <v>346.66574282043086</v>
      </c>
      <c r="K6" s="2">
        <f>C6/D6</f>
        <v>22078.019993813625</v>
      </c>
    </row>
    <row r="7" spans="1:16" s="5" customFormat="1" x14ac:dyDescent="0.3">
      <c r="A7" s="7"/>
      <c r="B7" s="7"/>
      <c r="C7" s="8">
        <f>SUM(C5:C6)</f>
        <v>34036116.727300003</v>
      </c>
      <c r="D7" s="9">
        <f>SUM(D5:D6)</f>
        <v>4546</v>
      </c>
      <c r="E7" s="9">
        <f>SUM(E5:E6)</f>
        <v>84725</v>
      </c>
      <c r="F7" s="8">
        <f>SUM(F5:F6)</f>
        <v>3343906.0622999999</v>
      </c>
      <c r="G7" s="8"/>
      <c r="H7" s="8">
        <f t="shared" ref="H7" si="1">SUM(H5:H6)</f>
        <v>30692210.665000003</v>
      </c>
      <c r="I7" s="10">
        <f>F7/C7</f>
        <v>9.8245816028063176E-2</v>
      </c>
      <c r="J7" s="15">
        <f>C7/E7</f>
        <v>401.72459990911779</v>
      </c>
      <c r="K7" s="15">
        <f>C7/D7</f>
        <v>7487.0472343378806</v>
      </c>
      <c r="L7"/>
      <c r="M7"/>
      <c r="N7"/>
      <c r="O7"/>
      <c r="P7"/>
    </row>
    <row r="8" spans="1:16" x14ac:dyDescent="0.3">
      <c r="D8" s="4"/>
      <c r="E8" s="4"/>
      <c r="G8" s="4"/>
      <c r="H8" s="4"/>
      <c r="I8" s="12" t="s">
        <v>16</v>
      </c>
      <c r="K8" s="2"/>
    </row>
    <row r="9" spans="1:16" x14ac:dyDescent="0.3">
      <c r="A9" s="18" t="s">
        <v>7</v>
      </c>
      <c r="B9" s="18"/>
      <c r="C9" s="16">
        <f>IFERROR((C2-C5)/C5,0)</f>
        <v>1.7987320110684941</v>
      </c>
      <c r="D9" s="16">
        <f t="shared" ref="D9:H11" si="2">IFERROR((D2-D5)/D5,0)</f>
        <v>5.5123891098195168</v>
      </c>
      <c r="E9" s="16">
        <f t="shared" si="2"/>
        <v>14.543420665292906</v>
      </c>
      <c r="F9" s="16">
        <f t="shared" si="2"/>
        <v>1.7864050222392729</v>
      </c>
      <c r="G9" s="16">
        <f t="shared" si="2"/>
        <v>4.3545314900153613</v>
      </c>
      <c r="H9" s="16">
        <f t="shared" si="2"/>
        <v>1.807497630293899</v>
      </c>
      <c r="I9" s="19">
        <f>(IFERROR((I2-I5),0))*100</f>
        <v>-0.18304084238620622</v>
      </c>
      <c r="J9" s="16">
        <f t="shared" ref="J9:K11" si="3">IFERROR((J2-J5)/J5,0)</f>
        <v>-0.81994104957103708</v>
      </c>
      <c r="K9" s="16">
        <f t="shared" si="3"/>
        <v>-0.57024496480891973</v>
      </c>
    </row>
    <row r="10" spans="1:16" x14ac:dyDescent="0.3">
      <c r="A10" s="18" t="s">
        <v>8</v>
      </c>
      <c r="B10" s="18"/>
      <c r="C10" s="16">
        <f t="shared" ref="C10:C11" si="4">IFERROR((C3-C6)/C6,0)</f>
        <v>0.19086589178741328</v>
      </c>
      <c r="D10" s="16">
        <f t="shared" si="2"/>
        <v>0.33750978856695379</v>
      </c>
      <c r="E10" s="16">
        <f t="shared" si="2"/>
        <v>0.27456718473342512</v>
      </c>
      <c r="F10" s="16">
        <f t="shared" si="2"/>
        <v>-1.5370351829753275</v>
      </c>
      <c r="G10" s="16">
        <f t="shared" si="2"/>
        <v>0.21945137157107231</v>
      </c>
      <c r="H10" s="16">
        <f t="shared" si="2"/>
        <v>0.24888328489804631</v>
      </c>
      <c r="I10" s="19">
        <f t="shared" ref="I10:I11" si="5">(IFERROR((I3-I6),0))*100</f>
        <v>-4.7135986493929982</v>
      </c>
      <c r="J10" s="16">
        <f t="shared" si="3"/>
        <v>-6.5670365555126051E-2</v>
      </c>
      <c r="K10" s="16">
        <f t="shared" si="3"/>
        <v>-0.10963949425496089</v>
      </c>
    </row>
    <row r="11" spans="1:16" x14ac:dyDescent="0.3">
      <c r="A11" s="17" t="s">
        <v>11</v>
      </c>
      <c r="B11" s="17"/>
      <c r="C11" s="16">
        <f t="shared" si="4"/>
        <v>0.46686488641504104</v>
      </c>
      <c r="D11" s="16">
        <f t="shared" si="2"/>
        <v>4.0587329520457542</v>
      </c>
      <c r="E11" s="16">
        <f t="shared" si="2"/>
        <v>0.84666863381528479</v>
      </c>
      <c r="F11" s="16">
        <f t="shared" si="2"/>
        <v>0.87611160347158301</v>
      </c>
      <c r="G11" s="16"/>
      <c r="H11" s="16">
        <f t="shared" si="2"/>
        <v>0.42227759379286794</v>
      </c>
      <c r="I11" s="19">
        <f t="shared" si="5"/>
        <v>2.7410007592648555</v>
      </c>
      <c r="J11" s="16">
        <f t="shared" si="3"/>
        <v>-0.20566968022603777</v>
      </c>
      <c r="K11" s="16">
        <f t="shared" si="3"/>
        <v>-0.71003314459960964</v>
      </c>
    </row>
    <row r="12" spans="1:16" x14ac:dyDescent="0.3">
      <c r="A12" s="25"/>
      <c r="B12" s="25"/>
      <c r="C12" s="16"/>
      <c r="D12" s="16"/>
      <c r="E12" s="16"/>
      <c r="F12" s="16"/>
      <c r="G12" s="16"/>
      <c r="H12" s="16"/>
      <c r="I12" s="19"/>
      <c r="J12" s="16"/>
      <c r="K12" s="16"/>
    </row>
    <row r="13" spans="1:16" x14ac:dyDescent="0.3">
      <c r="D13" s="4"/>
      <c r="E13" s="4"/>
      <c r="G13" s="4"/>
      <c r="H13" s="14" t="s">
        <v>22</v>
      </c>
      <c r="I13" s="14"/>
    </row>
    <row r="14" spans="1:16" x14ac:dyDescent="0.3">
      <c r="D14" s="4"/>
      <c r="E14" s="4"/>
      <c r="H14" s="11" t="s">
        <v>2</v>
      </c>
      <c r="I14" s="7" t="s">
        <v>15</v>
      </c>
    </row>
    <row r="15" spans="1:16" x14ac:dyDescent="0.3">
      <c r="D15" s="4"/>
      <c r="E15" s="4"/>
      <c r="H15" s="11">
        <v>2013</v>
      </c>
      <c r="I15" s="7">
        <v>183</v>
      </c>
    </row>
    <row r="16" spans="1:16" x14ac:dyDescent="0.3">
      <c r="D16" s="4"/>
      <c r="E16" s="4"/>
      <c r="H16" s="11">
        <v>2012</v>
      </c>
      <c r="I16" s="7">
        <v>286</v>
      </c>
    </row>
    <row r="17" spans="4:9" x14ac:dyDescent="0.3">
      <c r="D17" s="4"/>
      <c r="E17" s="4"/>
      <c r="H17" s="11" t="s">
        <v>11</v>
      </c>
      <c r="I17" s="10">
        <f>(I15-I16)/I16</f>
        <v>-0.36013986013986016</v>
      </c>
    </row>
  </sheetData>
  <mergeCells count="4">
    <mergeCell ref="A9:B9"/>
    <mergeCell ref="A10:B10"/>
    <mergeCell ref="A11:B11"/>
    <mergeCell ref="H13:I13"/>
  </mergeCells>
  <pageMargins left="0.7" right="0.7" top="0.75" bottom="0.75" header="0.3" footer="0.3"/>
  <ignoredErrors>
    <ignoredError sqref="I9:I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3E6-D06B-429F-8DDE-E118B02340DC}">
  <dimension ref="A1:J22"/>
  <sheetViews>
    <sheetView workbookViewId="0">
      <selection activeCell="H15" sqref="H15"/>
    </sheetView>
  </sheetViews>
  <sheetFormatPr defaultRowHeight="14.4" x14ac:dyDescent="0.3"/>
  <cols>
    <col min="1" max="1" width="12.21875" bestFit="1" customWidth="1"/>
    <col min="2" max="2" width="20" bestFit="1" customWidth="1"/>
    <col min="3" max="3" width="14" bestFit="1" customWidth="1"/>
    <col min="4" max="4" width="7.5546875" bestFit="1" customWidth="1"/>
    <col min="5" max="5" width="7.77734375" bestFit="1" customWidth="1"/>
    <col min="6" max="6" width="9.44140625" bestFit="1" customWidth="1"/>
    <col min="7" max="7" width="7.5546875" bestFit="1" customWidth="1"/>
    <col min="8" max="8" width="11.5546875" customWidth="1"/>
    <col min="9" max="9" width="8.44140625" bestFit="1" customWidth="1"/>
    <col min="10" max="10" width="10.21875" customWidth="1"/>
  </cols>
  <sheetData>
    <row r="1" spans="1:10" s="49" customFormat="1" ht="57.6" x14ac:dyDescent="0.3">
      <c r="A1" s="48" t="s">
        <v>2</v>
      </c>
      <c r="B1" s="48" t="s">
        <v>41</v>
      </c>
      <c r="C1" s="48" t="s">
        <v>42</v>
      </c>
      <c r="D1" s="48" t="s">
        <v>43</v>
      </c>
      <c r="E1" s="48" t="s">
        <v>44</v>
      </c>
      <c r="F1" s="48" t="s">
        <v>5</v>
      </c>
      <c r="G1" s="48" t="s">
        <v>13</v>
      </c>
      <c r="H1" s="48" t="s">
        <v>119</v>
      </c>
      <c r="I1" s="48" t="s">
        <v>45</v>
      </c>
      <c r="J1" s="48" t="s">
        <v>46</v>
      </c>
    </row>
    <row r="2" spans="1:10" x14ac:dyDescent="0.3">
      <c r="A2" s="13">
        <v>2013</v>
      </c>
      <c r="B2" s="44">
        <v>49926384.497199997</v>
      </c>
      <c r="C2" s="13">
        <v>183</v>
      </c>
      <c r="D2" s="13">
        <v>102</v>
      </c>
      <c r="E2" s="13">
        <v>167</v>
      </c>
      <c r="F2" s="45">
        <v>156459</v>
      </c>
      <c r="G2" s="46">
        <v>319.10199999999998</v>
      </c>
      <c r="H2" s="46"/>
      <c r="I2" s="47">
        <v>4</v>
      </c>
      <c r="J2" s="13" t="s">
        <v>47</v>
      </c>
    </row>
    <row r="3" spans="1:10" x14ac:dyDescent="0.3">
      <c r="A3" s="13">
        <v>2012</v>
      </c>
      <c r="B3" s="44">
        <v>34036116.727300003</v>
      </c>
      <c r="C3" s="13">
        <v>286</v>
      </c>
      <c r="D3" s="13">
        <v>94</v>
      </c>
      <c r="E3" s="13">
        <v>272</v>
      </c>
      <c r="F3" s="45">
        <v>84725</v>
      </c>
      <c r="G3" s="46">
        <v>401.72449999999998</v>
      </c>
      <c r="H3" s="46"/>
      <c r="I3" s="13" t="s">
        <v>47</v>
      </c>
      <c r="J3" s="47">
        <v>107</v>
      </c>
    </row>
    <row r="5" spans="1:10" x14ac:dyDescent="0.3">
      <c r="A5" s="24" t="s">
        <v>48</v>
      </c>
      <c r="B5" s="24"/>
      <c r="C5" s="24"/>
    </row>
    <row r="6" spans="1:10" x14ac:dyDescent="0.3">
      <c r="A6" t="s">
        <v>2</v>
      </c>
      <c r="B6" t="s">
        <v>49</v>
      </c>
      <c r="C6" t="s">
        <v>50</v>
      </c>
    </row>
    <row r="7" spans="1:10" x14ac:dyDescent="0.3">
      <c r="A7">
        <v>2012</v>
      </c>
      <c r="B7" s="3" t="s">
        <v>51</v>
      </c>
      <c r="C7" s="3">
        <v>1797344.3359000001</v>
      </c>
    </row>
    <row r="8" spans="1:10" x14ac:dyDescent="0.3">
      <c r="A8">
        <v>2012</v>
      </c>
      <c r="B8" s="3" t="s">
        <v>52</v>
      </c>
      <c r="C8" s="3">
        <v>1737147.3643</v>
      </c>
    </row>
    <row r="9" spans="1:10" x14ac:dyDescent="0.3">
      <c r="A9">
        <v>2012</v>
      </c>
      <c r="B9" s="3" t="s">
        <v>53</v>
      </c>
      <c r="C9" s="3">
        <v>1535538.6466999999</v>
      </c>
    </row>
    <row r="10" spans="1:10" x14ac:dyDescent="0.3">
      <c r="A10">
        <v>2012</v>
      </c>
      <c r="B10" s="3" t="s">
        <v>54</v>
      </c>
      <c r="C10" s="3">
        <v>1521446.1322000001</v>
      </c>
    </row>
    <row r="11" spans="1:10" x14ac:dyDescent="0.3">
      <c r="A11">
        <v>2012</v>
      </c>
      <c r="B11" s="3" t="s">
        <v>55</v>
      </c>
      <c r="C11" s="3">
        <v>1500432.8234999999</v>
      </c>
    </row>
    <row r="12" spans="1:10" x14ac:dyDescent="0.3">
      <c r="B12" s="3"/>
      <c r="C12" s="3"/>
    </row>
    <row r="13" spans="1:10" x14ac:dyDescent="0.3">
      <c r="A13" s="24" t="s">
        <v>57</v>
      </c>
      <c r="B13" s="24"/>
      <c r="C13" s="24"/>
    </row>
    <row r="14" spans="1:10" x14ac:dyDescent="0.3">
      <c r="A14" t="s">
        <v>2</v>
      </c>
      <c r="B14" s="3" t="s">
        <v>49</v>
      </c>
      <c r="C14" s="3" t="s">
        <v>50</v>
      </c>
    </row>
    <row r="15" spans="1:10" x14ac:dyDescent="0.3">
      <c r="A15">
        <v>2013</v>
      </c>
      <c r="B15" s="3" t="s">
        <v>51</v>
      </c>
      <c r="C15" s="3">
        <v>2497105.1793999998</v>
      </c>
    </row>
    <row r="16" spans="1:10" x14ac:dyDescent="0.3">
      <c r="A16">
        <v>2013</v>
      </c>
      <c r="B16" s="3" t="s">
        <v>52</v>
      </c>
      <c r="C16" s="3">
        <v>2172308.7851</v>
      </c>
    </row>
    <row r="17" spans="1:3" x14ac:dyDescent="0.3">
      <c r="A17">
        <v>2013</v>
      </c>
      <c r="B17" s="3" t="s">
        <v>53</v>
      </c>
      <c r="C17" s="3">
        <v>2066888.371</v>
      </c>
    </row>
    <row r="18" spans="1:3" x14ac:dyDescent="0.3">
      <c r="A18">
        <v>2013</v>
      </c>
      <c r="B18" s="3" t="s">
        <v>56</v>
      </c>
      <c r="C18" s="3">
        <v>1891432.5325</v>
      </c>
    </row>
    <row r="19" spans="1:3" x14ac:dyDescent="0.3">
      <c r="A19">
        <v>2013</v>
      </c>
      <c r="B19" s="3" t="s">
        <v>55</v>
      </c>
      <c r="C19" s="3">
        <v>1847732.1396999999</v>
      </c>
    </row>
    <row r="20" spans="1:3" x14ac:dyDescent="0.3">
      <c r="B20" s="3"/>
      <c r="C20" s="3"/>
    </row>
    <row r="21" spans="1:3" x14ac:dyDescent="0.3">
      <c r="B21" s="3"/>
    </row>
    <row r="22" spans="1:3" x14ac:dyDescent="0.3">
      <c r="B22" s="3"/>
    </row>
  </sheetData>
  <mergeCells count="2">
    <mergeCell ref="A13:C13"/>
    <mergeCell ref="A5:C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7F99-7C21-4A79-9767-B5B46F0A24B8}">
  <dimension ref="A1:N16"/>
  <sheetViews>
    <sheetView zoomScale="80" zoomScaleNormal="80" workbookViewId="0">
      <selection activeCell="D20" sqref="D20"/>
    </sheetView>
  </sheetViews>
  <sheetFormatPr defaultColWidth="8.77734375" defaultRowHeight="14.4" x14ac:dyDescent="0.3"/>
  <cols>
    <col min="1" max="1" width="19.33203125" bestFit="1" customWidth="1"/>
    <col min="2" max="2" width="17.21875" bestFit="1" customWidth="1"/>
    <col min="3" max="3" width="26.88671875" bestFit="1" customWidth="1"/>
    <col min="4" max="4" width="14" bestFit="1" customWidth="1"/>
    <col min="6" max="6" width="12.44140625" bestFit="1" customWidth="1"/>
    <col min="7" max="7" width="13" bestFit="1" customWidth="1"/>
    <col min="8" max="8" width="24.44140625" bestFit="1" customWidth="1"/>
    <col min="9" max="9" width="12.77734375" bestFit="1" customWidth="1"/>
    <col min="10" max="10" width="13" bestFit="1" customWidth="1"/>
    <col min="11" max="11" width="11.6640625" bestFit="1" customWidth="1"/>
    <col min="12" max="12" width="9.6640625" bestFit="1" customWidth="1"/>
    <col min="13" max="13" width="11.6640625" bestFit="1" customWidth="1"/>
    <col min="14" max="14" width="16.5546875" bestFit="1" customWidth="1"/>
  </cols>
  <sheetData>
    <row r="1" spans="1:14" x14ac:dyDescent="0.3">
      <c r="A1" s="26" t="s">
        <v>23</v>
      </c>
      <c r="B1" s="26" t="s">
        <v>24</v>
      </c>
      <c r="C1" s="26" t="s">
        <v>25</v>
      </c>
    </row>
    <row r="2" spans="1:14" x14ac:dyDescent="0.3">
      <c r="A2" s="27">
        <v>16351550.34</v>
      </c>
      <c r="B2" s="28">
        <v>17429</v>
      </c>
      <c r="C2" s="29">
        <v>938.18</v>
      </c>
      <c r="F2" s="38" t="s">
        <v>32</v>
      </c>
      <c r="G2" s="38"/>
      <c r="H2" s="38"/>
      <c r="I2" s="38"/>
      <c r="J2" s="38"/>
      <c r="K2" s="38"/>
      <c r="L2" s="38"/>
      <c r="M2" s="38"/>
    </row>
    <row r="3" spans="1:14" x14ac:dyDescent="0.3">
      <c r="A3" s="27"/>
      <c r="B3" s="28"/>
      <c r="C3" s="29"/>
      <c r="F3" s="26" t="s">
        <v>12</v>
      </c>
      <c r="G3" s="26" t="s">
        <v>33</v>
      </c>
      <c r="H3" s="26" t="s">
        <v>31</v>
      </c>
      <c r="I3" s="39" t="s">
        <v>2</v>
      </c>
      <c r="J3" s="26" t="s">
        <v>34</v>
      </c>
      <c r="K3" s="26" t="s">
        <v>4</v>
      </c>
      <c r="L3" s="32" t="s">
        <v>5</v>
      </c>
      <c r="M3" s="32" t="s">
        <v>6</v>
      </c>
      <c r="N3" s="32" t="s">
        <v>20</v>
      </c>
    </row>
    <row r="4" spans="1:14" x14ac:dyDescent="0.3">
      <c r="A4" s="41"/>
      <c r="B4" s="42"/>
      <c r="C4" s="43"/>
      <c r="F4" s="30" t="s">
        <v>7</v>
      </c>
      <c r="G4" s="30">
        <v>11439</v>
      </c>
      <c r="H4" s="30" t="s">
        <v>36</v>
      </c>
      <c r="I4" s="40">
        <v>2012</v>
      </c>
      <c r="J4" s="27">
        <v>2071.4196000000002</v>
      </c>
      <c r="K4" s="30">
        <v>1</v>
      </c>
      <c r="L4" s="27">
        <v>1</v>
      </c>
      <c r="M4" s="27">
        <v>953.56370000000004</v>
      </c>
      <c r="N4" s="27">
        <v>1117.8559</v>
      </c>
    </row>
    <row r="5" spans="1:14" s="5" customFormat="1" x14ac:dyDescent="0.3">
      <c r="A5" s="26" t="s">
        <v>26</v>
      </c>
      <c r="B5" s="26" t="s">
        <v>27</v>
      </c>
      <c r="C5" s="26" t="s">
        <v>28</v>
      </c>
      <c r="D5" s="26" t="s">
        <v>40</v>
      </c>
      <c r="F5" s="30" t="s">
        <v>7</v>
      </c>
      <c r="G5" s="30">
        <v>11433</v>
      </c>
      <c r="H5" s="30" t="s">
        <v>35</v>
      </c>
      <c r="I5" s="40">
        <v>2012</v>
      </c>
      <c r="J5" s="27">
        <v>2049.0981999999999</v>
      </c>
      <c r="K5" s="30">
        <v>1</v>
      </c>
      <c r="L5" s="27">
        <v>1</v>
      </c>
      <c r="M5" s="27">
        <v>943.28819999999996</v>
      </c>
      <c r="N5" s="27">
        <v>1105.81</v>
      </c>
    </row>
    <row r="6" spans="1:14" x14ac:dyDescent="0.3">
      <c r="A6" s="30" t="s">
        <v>27</v>
      </c>
      <c r="B6" s="28">
        <v>14461</v>
      </c>
      <c r="C6" s="31">
        <v>0.82970910549999999</v>
      </c>
      <c r="D6" s="31">
        <v>0</v>
      </c>
      <c r="E6" s="1"/>
      <c r="F6" s="26"/>
      <c r="G6" s="26"/>
      <c r="H6" s="26"/>
      <c r="I6" s="39"/>
      <c r="J6" s="26"/>
      <c r="K6" s="26"/>
      <c r="L6" s="32"/>
      <c r="M6" s="32"/>
      <c r="N6" s="32"/>
    </row>
    <row r="7" spans="1:14" x14ac:dyDescent="0.3">
      <c r="A7" s="30" t="s">
        <v>29</v>
      </c>
      <c r="B7" s="28">
        <v>2968</v>
      </c>
      <c r="C7" s="31">
        <v>0.1702908944</v>
      </c>
      <c r="D7" s="31">
        <v>0.91182795689999996</v>
      </c>
      <c r="E7" s="1"/>
      <c r="F7" s="30"/>
      <c r="G7" s="30"/>
      <c r="H7" s="30"/>
      <c r="I7" s="40"/>
      <c r="J7" s="27"/>
      <c r="K7" s="30"/>
      <c r="L7" s="27"/>
      <c r="M7" s="27"/>
      <c r="N7" s="27"/>
    </row>
    <row r="8" spans="1:14" x14ac:dyDescent="0.3">
      <c r="A8" s="30" t="s">
        <v>30</v>
      </c>
      <c r="B8" s="28">
        <v>287</v>
      </c>
      <c r="C8" s="31">
        <v>8.8172043000000005E-2</v>
      </c>
      <c r="D8" s="31">
        <v>0</v>
      </c>
      <c r="E8" s="1"/>
      <c r="F8" s="30"/>
      <c r="G8" s="30"/>
      <c r="H8" s="30"/>
      <c r="I8" s="40"/>
      <c r="J8" s="27"/>
      <c r="K8" s="30"/>
      <c r="L8" s="27"/>
      <c r="M8" s="27"/>
      <c r="N8" s="27"/>
    </row>
    <row r="9" spans="1:14" x14ac:dyDescent="0.3">
      <c r="A9" s="33"/>
      <c r="B9" s="34"/>
      <c r="C9" s="35"/>
      <c r="F9" s="36"/>
      <c r="G9" s="36"/>
      <c r="H9" s="36"/>
      <c r="I9" s="37"/>
      <c r="J9" s="36"/>
      <c r="K9" s="36"/>
      <c r="L9" s="37"/>
      <c r="M9" s="37"/>
    </row>
    <row r="10" spans="1:14" x14ac:dyDescent="0.3">
      <c r="F10" s="38" t="s">
        <v>32</v>
      </c>
      <c r="G10" s="38"/>
      <c r="H10" s="38"/>
      <c r="I10" s="38"/>
      <c r="J10" s="38"/>
      <c r="K10" s="38"/>
      <c r="L10" s="38"/>
      <c r="M10" s="38"/>
    </row>
    <row r="11" spans="1:14" x14ac:dyDescent="0.3">
      <c r="F11" s="26" t="s">
        <v>12</v>
      </c>
      <c r="G11" s="26" t="s">
        <v>33</v>
      </c>
      <c r="H11" s="26" t="s">
        <v>31</v>
      </c>
      <c r="I11" s="39" t="s">
        <v>2</v>
      </c>
      <c r="J11" s="26" t="s">
        <v>34</v>
      </c>
      <c r="K11" s="26" t="s">
        <v>4</v>
      </c>
      <c r="L11" s="32" t="s">
        <v>5</v>
      </c>
      <c r="M11" s="32" t="s">
        <v>6</v>
      </c>
      <c r="N11" s="32" t="s">
        <v>20</v>
      </c>
    </row>
    <row r="12" spans="1:14" x14ac:dyDescent="0.3">
      <c r="F12" s="30" t="s">
        <v>7</v>
      </c>
      <c r="G12" s="30">
        <v>11433</v>
      </c>
      <c r="H12" s="30" t="s">
        <v>35</v>
      </c>
      <c r="I12" s="40">
        <v>2013</v>
      </c>
      <c r="J12" s="27">
        <v>10860.57</v>
      </c>
      <c r="K12" s="30">
        <v>5</v>
      </c>
      <c r="L12" s="27">
        <v>11</v>
      </c>
      <c r="M12" s="27">
        <v>4253.3100000000004</v>
      </c>
      <c r="N12" s="27">
        <v>6607.26</v>
      </c>
    </row>
    <row r="13" spans="1:14" x14ac:dyDescent="0.3">
      <c r="F13" s="30" t="s">
        <v>7</v>
      </c>
      <c r="G13" s="30">
        <v>11439</v>
      </c>
      <c r="H13" s="30" t="s">
        <v>36</v>
      </c>
      <c r="I13" s="40">
        <v>2013</v>
      </c>
      <c r="J13" s="27">
        <v>10417.75</v>
      </c>
      <c r="K13" s="30">
        <v>5</v>
      </c>
      <c r="L13" s="27">
        <v>13</v>
      </c>
      <c r="M13" s="27">
        <v>4122.3238000000001</v>
      </c>
      <c r="N13" s="27">
        <v>6295.4261999999999</v>
      </c>
    </row>
    <row r="14" spans="1:14" x14ac:dyDescent="0.3">
      <c r="F14" s="30" t="s">
        <v>7</v>
      </c>
      <c r="G14" s="30">
        <v>12301</v>
      </c>
      <c r="H14" s="30" t="s">
        <v>37</v>
      </c>
      <c r="I14" s="40">
        <v>2013</v>
      </c>
      <c r="J14" s="27">
        <v>9717.11</v>
      </c>
      <c r="K14" s="30">
        <v>4</v>
      </c>
      <c r="L14" s="27">
        <v>12</v>
      </c>
      <c r="M14" s="27">
        <v>3843.4449</v>
      </c>
      <c r="N14" s="27">
        <v>5873.6651000000002</v>
      </c>
    </row>
    <row r="15" spans="1:14" x14ac:dyDescent="0.3">
      <c r="F15" s="30" t="s">
        <v>7</v>
      </c>
      <c r="G15" s="30">
        <v>12308</v>
      </c>
      <c r="H15" s="30" t="s">
        <v>38</v>
      </c>
      <c r="I15" s="40">
        <v>2013</v>
      </c>
      <c r="J15" s="27">
        <v>9691</v>
      </c>
      <c r="K15" s="30">
        <v>4</v>
      </c>
      <c r="L15" s="27">
        <v>13</v>
      </c>
      <c r="M15" s="27">
        <v>3847.6242000000002</v>
      </c>
      <c r="N15" s="27">
        <v>5843.3757999999998</v>
      </c>
    </row>
    <row r="16" spans="1:14" x14ac:dyDescent="0.3">
      <c r="F16" s="30" t="s">
        <v>7</v>
      </c>
      <c r="G16" s="30">
        <v>12131</v>
      </c>
      <c r="H16" s="30" t="s">
        <v>39</v>
      </c>
      <c r="I16" s="40">
        <v>2013</v>
      </c>
      <c r="J16" s="27">
        <v>9687.7199999999993</v>
      </c>
      <c r="K16" s="30">
        <v>4</v>
      </c>
      <c r="L16" s="27">
        <v>10</v>
      </c>
      <c r="M16" s="27">
        <v>3825.0468000000001</v>
      </c>
      <c r="N16" s="27">
        <v>5862.6732000000002</v>
      </c>
    </row>
  </sheetData>
  <mergeCells count="2">
    <mergeCell ref="F2:M2"/>
    <mergeCell ref="F10:M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287A-92C4-442A-8F94-CF17E90D6F58}">
  <dimension ref="A1:Y56"/>
  <sheetViews>
    <sheetView topLeftCell="H1" zoomScale="70" zoomScaleNormal="70" workbookViewId="0">
      <selection activeCell="X31" sqref="X31"/>
    </sheetView>
  </sheetViews>
  <sheetFormatPr defaultRowHeight="14.4" x14ac:dyDescent="0.3"/>
  <cols>
    <col min="1" max="1" width="16.77734375" bestFit="1" customWidth="1"/>
    <col min="2" max="2" width="16.33203125" bestFit="1" customWidth="1"/>
    <col min="3" max="3" width="25.109375" style="3" bestFit="1" customWidth="1"/>
    <col min="4" max="4" width="14.44140625" bestFit="1" customWidth="1"/>
    <col min="5" max="5" width="12.77734375" bestFit="1" customWidth="1"/>
    <col min="6" max="6" width="15.21875" style="2" bestFit="1" customWidth="1"/>
    <col min="7" max="7" width="17.6640625" bestFit="1" customWidth="1"/>
    <col min="8" max="8" width="14.5546875" bestFit="1" customWidth="1"/>
    <col min="9" max="9" width="12.6640625" customWidth="1"/>
    <col min="11" max="12" width="22.44140625" bestFit="1" customWidth="1"/>
    <col min="13" max="13" width="23.21875" bestFit="1" customWidth="1"/>
    <col min="14" max="14" width="23.77734375" bestFit="1" customWidth="1"/>
    <col min="15" max="15" width="17.33203125" bestFit="1" customWidth="1"/>
    <col min="16" max="16" width="22.44140625" style="13" bestFit="1" customWidth="1"/>
    <col min="17" max="17" width="23.21875" bestFit="1" customWidth="1"/>
    <col min="18" max="18" width="16.6640625" bestFit="1" customWidth="1"/>
    <col min="19" max="19" width="22.44140625" bestFit="1" customWidth="1"/>
    <col min="20" max="20" width="17.77734375" customWidth="1"/>
    <col min="21" max="21" width="9.88671875" customWidth="1"/>
    <col min="22" max="22" width="22.44140625" bestFit="1" customWidth="1"/>
    <col min="23" max="23" width="21.109375" bestFit="1" customWidth="1"/>
    <col min="24" max="24" width="15" bestFit="1" customWidth="1"/>
    <col min="25" max="25" width="13" bestFit="1" customWidth="1"/>
  </cols>
  <sheetData>
    <row r="1" spans="1:22" s="5" customFormat="1" x14ac:dyDescent="0.3">
      <c r="A1" s="26" t="s">
        <v>2</v>
      </c>
      <c r="B1" s="26" t="s">
        <v>12</v>
      </c>
      <c r="C1" s="32" t="s">
        <v>87</v>
      </c>
      <c r="D1" s="26" t="s">
        <v>113</v>
      </c>
      <c r="E1" s="26" t="s">
        <v>41</v>
      </c>
      <c r="F1" s="71" t="s">
        <v>5</v>
      </c>
      <c r="G1" s="26" t="s">
        <v>4</v>
      </c>
      <c r="H1" s="26" t="s">
        <v>69</v>
      </c>
      <c r="I1" s="26" t="s">
        <v>6</v>
      </c>
      <c r="P1" s="50"/>
    </row>
    <row r="2" spans="1:22" x14ac:dyDescent="0.3">
      <c r="A2" s="30">
        <v>2013</v>
      </c>
      <c r="B2" s="30" t="s">
        <v>8</v>
      </c>
      <c r="C2" s="27" t="s">
        <v>88</v>
      </c>
      <c r="D2" s="30" t="s">
        <v>114</v>
      </c>
      <c r="E2" s="30">
        <v>6377500.7061000001</v>
      </c>
      <c r="F2" s="29">
        <v>17934</v>
      </c>
      <c r="G2" s="30">
        <v>289</v>
      </c>
      <c r="H2" s="30">
        <v>22067.4764</v>
      </c>
      <c r="I2" s="30">
        <v>-86792.863200000007</v>
      </c>
      <c r="K2" s="24" t="s">
        <v>109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x14ac:dyDescent="0.3">
      <c r="A3" s="30">
        <v>2013</v>
      </c>
      <c r="B3" s="30" t="s">
        <v>8</v>
      </c>
      <c r="C3" s="27" t="s">
        <v>90</v>
      </c>
      <c r="D3" s="30" t="s">
        <v>114</v>
      </c>
      <c r="E3" s="30">
        <v>5408834.8784999996</v>
      </c>
      <c r="F3" s="29">
        <v>14176</v>
      </c>
      <c r="G3" s="30">
        <v>231</v>
      </c>
      <c r="H3" s="30">
        <v>23414.869600000002</v>
      </c>
      <c r="I3" s="30">
        <v>-6127.6463000000003</v>
      </c>
      <c r="K3" s="74" t="s">
        <v>0</v>
      </c>
      <c r="L3" s="13" t="s">
        <v>98</v>
      </c>
      <c r="M3" s="13" t="s">
        <v>100</v>
      </c>
      <c r="N3" s="13" t="s">
        <v>102</v>
      </c>
      <c r="O3" s="13" t="s">
        <v>103</v>
      </c>
      <c r="P3" s="72" t="s">
        <v>11</v>
      </c>
      <c r="Q3" s="13"/>
      <c r="R3" s="13"/>
      <c r="S3" s="75" t="s">
        <v>6</v>
      </c>
    </row>
    <row r="4" spans="1:22" x14ac:dyDescent="0.3">
      <c r="A4" s="30">
        <v>2013</v>
      </c>
      <c r="B4" s="30" t="s">
        <v>8</v>
      </c>
      <c r="C4" s="27" t="s">
        <v>89</v>
      </c>
      <c r="D4" s="30" t="s">
        <v>114</v>
      </c>
      <c r="E4" s="30">
        <v>5181903.3946000002</v>
      </c>
      <c r="F4" s="29">
        <v>18196</v>
      </c>
      <c r="G4" s="30">
        <v>273</v>
      </c>
      <c r="H4" s="30">
        <v>18981.331099999999</v>
      </c>
      <c r="I4" s="30">
        <v>-23980.1849</v>
      </c>
      <c r="K4" s="13">
        <v>2013</v>
      </c>
      <c r="L4" s="44">
        <v>49926384.497199997</v>
      </c>
      <c r="M4" s="44">
        <v>6273540.9644000018</v>
      </c>
      <c r="N4" s="81">
        <v>22997</v>
      </c>
      <c r="O4" s="81">
        <v>156459</v>
      </c>
      <c r="P4" s="73">
        <f>(L4-L7)/L7</f>
        <v>0.46686488641504104</v>
      </c>
      <c r="Q4" s="13"/>
      <c r="R4" s="13"/>
      <c r="S4" s="76">
        <f>M4/L4</f>
        <v>0.12565582362071179</v>
      </c>
    </row>
    <row r="5" spans="1:22" x14ac:dyDescent="0.3">
      <c r="A5" s="30">
        <v>2013</v>
      </c>
      <c r="B5" s="30" t="s">
        <v>7</v>
      </c>
      <c r="C5" s="27" t="s">
        <v>95</v>
      </c>
      <c r="D5" s="30" t="s">
        <v>115</v>
      </c>
      <c r="E5" s="30">
        <v>4339443.38</v>
      </c>
      <c r="F5" s="29">
        <v>11054</v>
      </c>
      <c r="G5" s="30">
        <v>4640</v>
      </c>
      <c r="H5" s="30">
        <v>935.22479999999996</v>
      </c>
      <c r="I5" s="30">
        <v>1742026.4964000001</v>
      </c>
      <c r="K5" s="13" t="s">
        <v>7</v>
      </c>
      <c r="L5" s="44">
        <v>16351550.34</v>
      </c>
      <c r="M5" s="44">
        <v>6765410.9710000018</v>
      </c>
      <c r="N5" s="81">
        <v>21289</v>
      </c>
      <c r="O5" s="81">
        <v>52801</v>
      </c>
      <c r="P5" s="73">
        <f>(L5-L8)/L8</f>
        <v>1.7987320110684946</v>
      </c>
      <c r="Q5" s="13"/>
      <c r="R5" s="13"/>
      <c r="S5" s="77"/>
    </row>
    <row r="6" spans="1:22" x14ac:dyDescent="0.3">
      <c r="A6" s="30">
        <v>2013</v>
      </c>
      <c r="B6" s="30" t="s">
        <v>7</v>
      </c>
      <c r="C6" s="27" t="s">
        <v>88</v>
      </c>
      <c r="D6" s="30" t="s">
        <v>114</v>
      </c>
      <c r="E6" s="30">
        <v>3356890.1</v>
      </c>
      <c r="F6" s="29">
        <v>10889</v>
      </c>
      <c r="G6" s="30">
        <v>4319</v>
      </c>
      <c r="H6" s="30">
        <v>777.23779999999999</v>
      </c>
      <c r="I6" s="30">
        <v>1409002.9362000001</v>
      </c>
      <c r="K6" s="13" t="s">
        <v>8</v>
      </c>
      <c r="L6" s="44">
        <v>33574834.157200001</v>
      </c>
      <c r="M6" s="44">
        <v>-491870.00659999996</v>
      </c>
      <c r="N6" s="81">
        <v>1708</v>
      </c>
      <c r="O6" s="81">
        <v>103658</v>
      </c>
      <c r="P6" s="73">
        <f>(L6-L9)/L9</f>
        <v>0.19086589178741314</v>
      </c>
      <c r="Q6" s="80" t="s">
        <v>16</v>
      </c>
      <c r="R6" s="13"/>
      <c r="S6" s="77"/>
    </row>
    <row r="7" spans="1:22" x14ac:dyDescent="0.3">
      <c r="A7" s="30">
        <v>2013</v>
      </c>
      <c r="B7" s="30" t="s">
        <v>8</v>
      </c>
      <c r="C7" s="27" t="s">
        <v>96</v>
      </c>
      <c r="D7" s="30" t="s">
        <v>116</v>
      </c>
      <c r="E7" s="30">
        <v>3124052.1516999998</v>
      </c>
      <c r="F7" s="29">
        <v>9543</v>
      </c>
      <c r="G7" s="30">
        <v>118</v>
      </c>
      <c r="H7" s="30">
        <v>26475.018199999999</v>
      </c>
      <c r="I7" s="30">
        <v>-90718.033299999996</v>
      </c>
      <c r="K7" s="13">
        <v>2012</v>
      </c>
      <c r="L7" s="44">
        <v>34036116.727300003</v>
      </c>
      <c r="M7" s="44">
        <v>3343906.0622999999</v>
      </c>
      <c r="N7" s="81">
        <v>4546</v>
      </c>
      <c r="O7" s="81">
        <v>84725</v>
      </c>
      <c r="P7" s="73">
        <f>(L7-L10)/L10</f>
        <v>0.34698725854153878</v>
      </c>
      <c r="Q7" s="79">
        <f>(P4-P7)*100</f>
        <v>11.987762787350226</v>
      </c>
      <c r="R7" s="72" t="s">
        <v>99</v>
      </c>
      <c r="S7" s="76">
        <f>M7/L7</f>
        <v>9.8245816028063176E-2</v>
      </c>
      <c r="T7" s="75" t="s">
        <v>101</v>
      </c>
      <c r="U7" s="78">
        <f>(S4-S7)*100</f>
        <v>2.7410007592648613</v>
      </c>
      <c r="V7" s="77" t="s">
        <v>16</v>
      </c>
    </row>
    <row r="8" spans="1:22" x14ac:dyDescent="0.3">
      <c r="A8" s="30">
        <v>2013</v>
      </c>
      <c r="B8" s="30" t="s">
        <v>8</v>
      </c>
      <c r="C8" s="27" t="s">
        <v>92</v>
      </c>
      <c r="D8" s="30" t="s">
        <v>114</v>
      </c>
      <c r="E8" s="30">
        <v>2854442.0452999999</v>
      </c>
      <c r="F8" s="29">
        <v>8521</v>
      </c>
      <c r="G8" s="30">
        <v>138</v>
      </c>
      <c r="H8" s="30">
        <v>20684.3626</v>
      </c>
      <c r="I8" s="30">
        <v>14849.0962</v>
      </c>
      <c r="K8" s="13" t="s">
        <v>7</v>
      </c>
      <c r="L8" s="44">
        <v>5842485.195199999</v>
      </c>
      <c r="M8" s="44">
        <v>2428007.0258999998</v>
      </c>
      <c r="N8" s="81">
        <v>3269</v>
      </c>
      <c r="O8" s="81">
        <v>3397</v>
      </c>
      <c r="P8" s="73"/>
      <c r="Q8" s="13"/>
      <c r="R8" s="13"/>
      <c r="S8" s="77"/>
    </row>
    <row r="9" spans="1:22" x14ac:dyDescent="0.3">
      <c r="A9" s="30">
        <v>2013</v>
      </c>
      <c r="B9" s="30" t="s">
        <v>8</v>
      </c>
      <c r="C9" s="27" t="s">
        <v>94</v>
      </c>
      <c r="D9" s="30" t="s">
        <v>116</v>
      </c>
      <c r="E9" s="30">
        <v>2720032.3766999999</v>
      </c>
      <c r="F9" s="29">
        <v>8350</v>
      </c>
      <c r="G9" s="30">
        <v>116</v>
      </c>
      <c r="H9" s="30">
        <v>23448.554899999999</v>
      </c>
      <c r="I9" s="30">
        <v>-63096.645100000002</v>
      </c>
      <c r="K9" s="13" t="s">
        <v>8</v>
      </c>
      <c r="L9" s="44">
        <v>28193631.532100003</v>
      </c>
      <c r="M9" s="44">
        <v>915899.03639999998</v>
      </c>
      <c r="N9" s="81">
        <v>1277</v>
      </c>
      <c r="O9" s="81">
        <v>81328</v>
      </c>
      <c r="P9" s="73"/>
      <c r="Q9" s="13"/>
      <c r="R9" s="13"/>
      <c r="S9" s="77"/>
    </row>
    <row r="10" spans="1:22" x14ac:dyDescent="0.3">
      <c r="A10" s="30">
        <v>2013</v>
      </c>
      <c r="B10" s="30" t="s">
        <v>8</v>
      </c>
      <c r="C10" s="27" t="s">
        <v>91</v>
      </c>
      <c r="D10" s="30" t="s">
        <v>114</v>
      </c>
      <c r="E10" s="30">
        <v>2352416.6611000001</v>
      </c>
      <c r="F10" s="29">
        <v>7483</v>
      </c>
      <c r="G10" s="30">
        <v>170</v>
      </c>
      <c r="H10" s="30">
        <v>13837.745000000001</v>
      </c>
      <c r="I10" s="30">
        <v>-37240.181900000003</v>
      </c>
      <c r="K10" s="13">
        <v>2011</v>
      </c>
      <c r="L10" s="44">
        <v>25268328.643399999</v>
      </c>
      <c r="M10" s="44">
        <v>2873483.8756000004</v>
      </c>
      <c r="N10" s="81">
        <v>2989</v>
      </c>
      <c r="O10" s="81">
        <v>30788</v>
      </c>
      <c r="Q10" s="13"/>
      <c r="R10" s="13"/>
      <c r="S10" s="77"/>
    </row>
    <row r="11" spans="1:22" x14ac:dyDescent="0.3">
      <c r="A11" s="30">
        <v>2013</v>
      </c>
      <c r="B11" s="30" t="s">
        <v>8</v>
      </c>
      <c r="C11" s="27" t="s">
        <v>93</v>
      </c>
      <c r="D11" s="30" t="s">
        <v>114</v>
      </c>
      <c r="E11" s="30">
        <v>2207193.8141000001</v>
      </c>
      <c r="F11" s="29">
        <v>8007</v>
      </c>
      <c r="G11" s="30">
        <v>135</v>
      </c>
      <c r="H11" s="30">
        <v>16349.5838</v>
      </c>
      <c r="I11" s="30">
        <v>-37994.623200000002</v>
      </c>
      <c r="K11" s="13" t="s">
        <v>7</v>
      </c>
      <c r="L11" s="44">
        <v>7075525.9291000003</v>
      </c>
      <c r="M11" s="44">
        <v>2844063.7381000002</v>
      </c>
      <c r="N11" s="81">
        <v>2216</v>
      </c>
      <c r="O11" s="81">
        <v>2216</v>
      </c>
      <c r="Q11" s="13"/>
      <c r="R11" s="13"/>
      <c r="S11" s="77"/>
    </row>
    <row r="12" spans="1:22" x14ac:dyDescent="0.3">
      <c r="A12" s="30">
        <v>2013</v>
      </c>
      <c r="B12" s="30" t="s">
        <v>7</v>
      </c>
      <c r="C12" s="27" t="s">
        <v>94</v>
      </c>
      <c r="D12" s="30" t="s">
        <v>116</v>
      </c>
      <c r="E12" s="30">
        <v>2124007.29</v>
      </c>
      <c r="F12" s="29">
        <v>6135</v>
      </c>
      <c r="G12" s="30">
        <v>2377</v>
      </c>
      <c r="H12" s="30">
        <v>893.56629999999996</v>
      </c>
      <c r="I12" s="30">
        <v>874317.57270000002</v>
      </c>
      <c r="K12" s="13" t="s">
        <v>8</v>
      </c>
      <c r="L12" s="44">
        <v>18192802.714299999</v>
      </c>
      <c r="M12" s="44">
        <v>29420.137499999993</v>
      </c>
      <c r="N12" s="81">
        <v>773</v>
      </c>
      <c r="O12" s="81">
        <v>28572</v>
      </c>
      <c r="Q12" s="13"/>
      <c r="R12" s="13"/>
    </row>
    <row r="13" spans="1:22" x14ac:dyDescent="0.3">
      <c r="A13" s="30">
        <v>2013</v>
      </c>
      <c r="B13" s="30" t="s">
        <v>7</v>
      </c>
      <c r="C13" s="27" t="s">
        <v>90</v>
      </c>
      <c r="D13" s="30" t="s">
        <v>114</v>
      </c>
      <c r="E13" s="30">
        <v>2091249.51</v>
      </c>
      <c r="F13" s="29">
        <v>7965</v>
      </c>
      <c r="G13" s="30">
        <v>3242</v>
      </c>
      <c r="H13" s="30">
        <v>645.04920000000004</v>
      </c>
      <c r="I13" s="30">
        <v>884483.38269999996</v>
      </c>
    </row>
    <row r="14" spans="1:22" x14ac:dyDescent="0.3">
      <c r="A14" s="30">
        <v>2013</v>
      </c>
      <c r="B14" s="30" t="s">
        <v>8</v>
      </c>
      <c r="C14" s="27" t="s">
        <v>97</v>
      </c>
      <c r="D14" s="30" t="s">
        <v>116</v>
      </c>
      <c r="E14" s="30">
        <v>1803947.4665999999</v>
      </c>
      <c r="F14" s="29">
        <v>6624</v>
      </c>
      <c r="G14" s="30">
        <v>120</v>
      </c>
      <c r="H14" s="30">
        <v>15032.895500000001</v>
      </c>
      <c r="I14" s="30">
        <v>-68819.377299999993</v>
      </c>
      <c r="K14" s="13"/>
      <c r="P14"/>
    </row>
    <row r="15" spans="1:22" x14ac:dyDescent="0.3">
      <c r="A15" s="30">
        <v>2013</v>
      </c>
      <c r="B15" s="30" t="s">
        <v>7</v>
      </c>
      <c r="C15" s="27" t="s">
        <v>97</v>
      </c>
      <c r="D15" s="30" t="s">
        <v>116</v>
      </c>
      <c r="E15" s="30">
        <v>1761876.36</v>
      </c>
      <c r="F15" s="29">
        <v>4937</v>
      </c>
      <c r="G15" s="30">
        <v>1909</v>
      </c>
      <c r="H15" s="30">
        <v>922.93150000000003</v>
      </c>
      <c r="I15" s="30">
        <v>727939.98959999997</v>
      </c>
      <c r="K15" s="13"/>
      <c r="P15"/>
    </row>
    <row r="16" spans="1:22" x14ac:dyDescent="0.3">
      <c r="A16" s="30">
        <v>2013</v>
      </c>
      <c r="B16" s="30" t="s">
        <v>7</v>
      </c>
      <c r="C16" s="27" t="s">
        <v>96</v>
      </c>
      <c r="D16" s="30" t="s">
        <v>116</v>
      </c>
      <c r="E16" s="30">
        <v>1578511.8</v>
      </c>
      <c r="F16" s="29">
        <v>4880</v>
      </c>
      <c r="G16" s="30">
        <v>1917</v>
      </c>
      <c r="H16" s="30">
        <v>823.42809999999997</v>
      </c>
      <c r="I16" s="30">
        <v>652766.73829999997</v>
      </c>
      <c r="K16" s="84" t="s">
        <v>104</v>
      </c>
      <c r="L16" s="85" t="s">
        <v>105</v>
      </c>
      <c r="M16" s="84"/>
      <c r="P16"/>
    </row>
    <row r="17" spans="1:19" x14ac:dyDescent="0.3">
      <c r="A17" s="30">
        <v>2013</v>
      </c>
      <c r="B17" s="30" t="s">
        <v>8</v>
      </c>
      <c r="C17" s="27" t="s">
        <v>95</v>
      </c>
      <c r="D17" s="30" t="s">
        <v>115</v>
      </c>
      <c r="E17" s="30">
        <v>1544510.6625000001</v>
      </c>
      <c r="F17" s="29">
        <v>4824</v>
      </c>
      <c r="G17" s="30">
        <v>118</v>
      </c>
      <c r="H17" s="30">
        <v>13089.073399999999</v>
      </c>
      <c r="I17" s="30">
        <v>-91949.547600000005</v>
      </c>
      <c r="K17" s="82">
        <f>(N4-N7)/N7</f>
        <v>4.0587329520457542</v>
      </c>
      <c r="L17" s="86">
        <f>(O4-O7)/O7</f>
        <v>0.84666863381528479</v>
      </c>
      <c r="M17" s="83"/>
      <c r="P17"/>
    </row>
    <row r="18" spans="1:19" x14ac:dyDescent="0.3">
      <c r="A18" s="30">
        <v>2013</v>
      </c>
      <c r="B18" s="30" t="s">
        <v>7</v>
      </c>
      <c r="C18" s="27" t="s">
        <v>89</v>
      </c>
      <c r="D18" s="30" t="s">
        <v>114</v>
      </c>
      <c r="E18" s="30">
        <v>1085632.6499999999</v>
      </c>
      <c r="F18" s="29">
        <v>6863</v>
      </c>
      <c r="G18" s="30">
        <v>2856</v>
      </c>
      <c r="H18" s="30">
        <v>380.1234</v>
      </c>
      <c r="I18" s="30">
        <v>468777.66600000003</v>
      </c>
      <c r="K18" s="80"/>
      <c r="L18" s="83"/>
      <c r="M18" s="83"/>
      <c r="P18"/>
    </row>
    <row r="19" spans="1:19" x14ac:dyDescent="0.3">
      <c r="A19" s="30">
        <v>2013</v>
      </c>
      <c r="B19" s="30" t="s">
        <v>7</v>
      </c>
      <c r="C19" s="27" t="s">
        <v>91</v>
      </c>
      <c r="D19" s="30" t="s">
        <v>114</v>
      </c>
      <c r="E19" s="30">
        <v>8526.4699999999993</v>
      </c>
      <c r="F19" s="29">
        <v>33</v>
      </c>
      <c r="G19" s="30">
        <v>12</v>
      </c>
      <c r="H19" s="30">
        <v>710.53909999999996</v>
      </c>
      <c r="I19" s="30">
        <v>3739.3582999999999</v>
      </c>
      <c r="K19" s="80"/>
      <c r="L19" s="83"/>
      <c r="M19" s="83"/>
      <c r="P19"/>
    </row>
    <row r="20" spans="1:19" x14ac:dyDescent="0.3">
      <c r="A20" s="30">
        <v>2013</v>
      </c>
      <c r="B20" s="30" t="s">
        <v>7</v>
      </c>
      <c r="C20" s="27" t="s">
        <v>93</v>
      </c>
      <c r="D20" s="30" t="s">
        <v>114</v>
      </c>
      <c r="E20" s="30">
        <v>4483.37</v>
      </c>
      <c r="F20" s="29">
        <v>26</v>
      </c>
      <c r="G20" s="30">
        <v>9</v>
      </c>
      <c r="H20" s="30">
        <v>498.15219999999999</v>
      </c>
      <c r="I20" s="30">
        <v>1959.4740999999999</v>
      </c>
      <c r="K20" s="13"/>
      <c r="P20"/>
    </row>
    <row r="21" spans="1:19" x14ac:dyDescent="0.3">
      <c r="A21" s="30">
        <v>2013</v>
      </c>
      <c r="B21" s="30" t="s">
        <v>7</v>
      </c>
      <c r="C21" s="27" t="s">
        <v>92</v>
      </c>
      <c r="D21" s="30" t="s">
        <v>114</v>
      </c>
      <c r="E21" s="30">
        <v>929.41</v>
      </c>
      <c r="F21" s="29">
        <v>19</v>
      </c>
      <c r="G21" s="30">
        <v>8</v>
      </c>
      <c r="H21" s="30">
        <v>116.17619999999999</v>
      </c>
      <c r="I21" s="30">
        <v>397.35669999999999</v>
      </c>
      <c r="K21" s="13"/>
      <c r="P21"/>
    </row>
    <row r="22" spans="1:19" x14ac:dyDescent="0.3">
      <c r="A22" s="30">
        <v>2012</v>
      </c>
      <c r="B22" s="30" t="s">
        <v>8</v>
      </c>
      <c r="C22" s="30" t="s">
        <v>88</v>
      </c>
      <c r="D22" s="30" t="s">
        <v>114</v>
      </c>
      <c r="E22" s="30">
        <v>7703501.0756000001</v>
      </c>
      <c r="F22" s="29">
        <v>21690</v>
      </c>
      <c r="G22" s="30">
        <v>275</v>
      </c>
      <c r="H22" s="30">
        <v>28012.731100000001</v>
      </c>
      <c r="I22" s="30">
        <v>168852.3236</v>
      </c>
      <c r="K22" s="24" t="s">
        <v>108</v>
      </c>
      <c r="L22" s="24"/>
      <c r="M22" s="24"/>
      <c r="O22" s="24" t="s">
        <v>107</v>
      </c>
      <c r="P22" s="24"/>
      <c r="Q22" s="24"/>
      <c r="R22" s="24"/>
      <c r="S22" s="24"/>
    </row>
    <row r="23" spans="1:19" x14ac:dyDescent="0.3">
      <c r="A23" s="30">
        <v>2012</v>
      </c>
      <c r="B23" s="30" t="s">
        <v>8</v>
      </c>
      <c r="C23" s="30" t="s">
        <v>89</v>
      </c>
      <c r="D23" s="30" t="s">
        <v>114</v>
      </c>
      <c r="E23" s="30">
        <v>5478100.1857000003</v>
      </c>
      <c r="F23" s="29">
        <v>16877</v>
      </c>
      <c r="G23" s="30">
        <v>251</v>
      </c>
      <c r="H23" s="30">
        <v>21825.100299999998</v>
      </c>
      <c r="I23" s="30">
        <v>221170.40669999999</v>
      </c>
      <c r="K23" s="20" t="s">
        <v>98</v>
      </c>
      <c r="L23" s="20" t="s">
        <v>19</v>
      </c>
      <c r="O23" s="20" t="s">
        <v>98</v>
      </c>
      <c r="P23" s="20" t="s">
        <v>19</v>
      </c>
    </row>
    <row r="24" spans="1:19" x14ac:dyDescent="0.3">
      <c r="A24" s="30">
        <v>2012</v>
      </c>
      <c r="B24" s="30" t="s">
        <v>8</v>
      </c>
      <c r="C24" s="30" t="s">
        <v>90</v>
      </c>
      <c r="D24" s="30" t="s">
        <v>114</v>
      </c>
      <c r="E24" s="30">
        <v>3466032.8319999999</v>
      </c>
      <c r="F24" s="29">
        <v>9396</v>
      </c>
      <c r="G24" s="30">
        <v>179</v>
      </c>
      <c r="H24" s="30">
        <v>19363.311900000001</v>
      </c>
      <c r="I24" s="30">
        <v>171626.2378</v>
      </c>
      <c r="K24" s="20" t="s">
        <v>17</v>
      </c>
      <c r="L24">
        <v>2013</v>
      </c>
      <c r="M24">
        <v>2012</v>
      </c>
      <c r="P24" s="13">
        <v>2013</v>
      </c>
      <c r="Q24" s="13"/>
      <c r="R24">
        <v>2012</v>
      </c>
    </row>
    <row r="25" spans="1:19" x14ac:dyDescent="0.3">
      <c r="A25" s="30">
        <v>2012</v>
      </c>
      <c r="B25" s="30" t="s">
        <v>8</v>
      </c>
      <c r="C25" s="30" t="s">
        <v>93</v>
      </c>
      <c r="D25" s="30" t="s">
        <v>114</v>
      </c>
      <c r="E25" s="30">
        <v>3222682.8805999998</v>
      </c>
      <c r="F25" s="29">
        <v>8772</v>
      </c>
      <c r="G25" s="30">
        <v>120</v>
      </c>
      <c r="H25" s="30">
        <v>26855.690600000002</v>
      </c>
      <c r="I25" s="30">
        <v>107649.3781</v>
      </c>
      <c r="K25" s="21" t="s">
        <v>95</v>
      </c>
      <c r="L25" s="3">
        <v>5883954.0425000004</v>
      </c>
      <c r="M25" s="3">
        <v>2178232.1692999997</v>
      </c>
      <c r="O25" s="20" t="s">
        <v>106</v>
      </c>
      <c r="P25" s="13" t="s">
        <v>7</v>
      </c>
      <c r="Q25" s="13" t="s">
        <v>8</v>
      </c>
      <c r="R25" t="s">
        <v>7</v>
      </c>
      <c r="S25" t="s">
        <v>8</v>
      </c>
    </row>
    <row r="26" spans="1:19" x14ac:dyDescent="0.3">
      <c r="A26" s="30">
        <v>2012</v>
      </c>
      <c r="B26" s="30" t="s">
        <v>8</v>
      </c>
      <c r="C26" s="30" t="s">
        <v>92</v>
      </c>
      <c r="D26" s="30" t="s">
        <v>114</v>
      </c>
      <c r="E26" s="30">
        <v>2755562.9544000002</v>
      </c>
      <c r="F26" s="29">
        <v>7560</v>
      </c>
      <c r="G26" s="30">
        <v>142</v>
      </c>
      <c r="H26" s="30">
        <v>19405.372899999998</v>
      </c>
      <c r="I26" s="30">
        <v>80683.362099999998</v>
      </c>
      <c r="K26" s="21" t="s">
        <v>89</v>
      </c>
      <c r="L26" s="3">
        <v>6267536.0446000006</v>
      </c>
      <c r="M26" s="3">
        <v>5785704.7094000001</v>
      </c>
      <c r="O26" s="21" t="s">
        <v>95</v>
      </c>
      <c r="P26" s="44">
        <v>4339443.38</v>
      </c>
      <c r="Q26" s="44">
        <v>1544510.6625000001</v>
      </c>
      <c r="R26" s="3">
        <v>2128407.4550999999</v>
      </c>
      <c r="S26" s="3">
        <v>49824.714200000002</v>
      </c>
    </row>
    <row r="27" spans="1:19" x14ac:dyDescent="0.3">
      <c r="A27" s="30">
        <v>2012</v>
      </c>
      <c r="B27" s="30" t="s">
        <v>8</v>
      </c>
      <c r="C27" s="30" t="s">
        <v>91</v>
      </c>
      <c r="D27" s="30" t="s">
        <v>114</v>
      </c>
      <c r="E27" s="30">
        <v>2473607.0699999998</v>
      </c>
      <c r="F27" s="29">
        <v>7226</v>
      </c>
      <c r="G27" s="30">
        <v>160</v>
      </c>
      <c r="H27" s="30">
        <v>15460.044099999999</v>
      </c>
      <c r="I27" s="30">
        <v>102558.6007</v>
      </c>
      <c r="K27" s="21" t="s">
        <v>92</v>
      </c>
      <c r="L27" s="3">
        <v>2855371.4553</v>
      </c>
      <c r="M27" s="3">
        <v>2757634.3740000003</v>
      </c>
      <c r="O27" s="21" t="s">
        <v>89</v>
      </c>
      <c r="P27" s="44">
        <v>1085632.6499999999</v>
      </c>
      <c r="Q27" s="44">
        <v>5181903.3946000002</v>
      </c>
      <c r="R27" s="3">
        <v>307604.52370000002</v>
      </c>
      <c r="S27" s="3">
        <v>5478100.1857000003</v>
      </c>
    </row>
    <row r="28" spans="1:19" x14ac:dyDescent="0.3">
      <c r="A28" s="30">
        <v>2012</v>
      </c>
      <c r="B28" s="30" t="s">
        <v>7</v>
      </c>
      <c r="C28" s="30" t="s">
        <v>95</v>
      </c>
      <c r="D28" s="30" t="s">
        <v>115</v>
      </c>
      <c r="E28" s="30">
        <v>2128407.4550999999</v>
      </c>
      <c r="F28" s="29">
        <v>1167</v>
      </c>
      <c r="G28" s="30">
        <v>1130</v>
      </c>
      <c r="H28" s="30">
        <v>1883.5463999999999</v>
      </c>
      <c r="I28" s="30">
        <v>892026.63699999999</v>
      </c>
      <c r="K28" s="21" t="s">
        <v>96</v>
      </c>
      <c r="L28" s="3">
        <v>4702563.9517000001</v>
      </c>
      <c r="M28" s="3">
        <v>2034055.0298000001</v>
      </c>
      <c r="O28" s="21" t="s">
        <v>92</v>
      </c>
      <c r="P28" s="44">
        <v>929.41</v>
      </c>
      <c r="Q28" s="44">
        <v>2854442.0452999999</v>
      </c>
      <c r="R28" s="3">
        <v>2071.4196000000002</v>
      </c>
      <c r="S28" s="3">
        <v>2755562.9544000002</v>
      </c>
    </row>
    <row r="29" spans="1:19" x14ac:dyDescent="0.3">
      <c r="A29" s="30">
        <v>2012</v>
      </c>
      <c r="B29" s="30" t="s">
        <v>8</v>
      </c>
      <c r="C29" s="30" t="s">
        <v>94</v>
      </c>
      <c r="D29" s="30" t="s">
        <v>116</v>
      </c>
      <c r="E29" s="30">
        <v>1478289.7574</v>
      </c>
      <c r="F29" s="29">
        <v>4555</v>
      </c>
      <c r="G29" s="30">
        <v>69</v>
      </c>
      <c r="H29" s="30">
        <v>21424.4892</v>
      </c>
      <c r="I29" s="30">
        <v>73668.894700000004</v>
      </c>
      <c r="K29" s="21" t="s">
        <v>97</v>
      </c>
      <c r="L29" s="3">
        <v>3565823.8266000003</v>
      </c>
      <c r="M29" s="3">
        <v>788698.5547000001</v>
      </c>
      <c r="O29" s="21" t="s">
        <v>96</v>
      </c>
      <c r="P29" s="44">
        <v>1578511.8</v>
      </c>
      <c r="Q29" s="44">
        <v>3124052.1516999998</v>
      </c>
      <c r="R29" s="3">
        <v>648065.53830000001</v>
      </c>
      <c r="S29" s="3">
        <v>1385989.4915</v>
      </c>
    </row>
    <row r="30" spans="1:19" x14ac:dyDescent="0.3">
      <c r="A30" s="30">
        <v>2012</v>
      </c>
      <c r="B30" s="30" t="s">
        <v>8</v>
      </c>
      <c r="C30" s="30" t="s">
        <v>96</v>
      </c>
      <c r="D30" s="30" t="s">
        <v>116</v>
      </c>
      <c r="E30" s="30">
        <v>1385989.4915</v>
      </c>
      <c r="F30" s="29">
        <v>4372</v>
      </c>
      <c r="G30" s="30">
        <v>65</v>
      </c>
      <c r="H30" s="30">
        <v>21322.915199999999</v>
      </c>
      <c r="I30" s="30">
        <v>48895.489099999999</v>
      </c>
      <c r="K30" s="21" t="s">
        <v>93</v>
      </c>
      <c r="L30" s="3">
        <v>2211677.1841000002</v>
      </c>
      <c r="M30" s="3">
        <v>3224731.9787999997</v>
      </c>
      <c r="O30" s="21" t="s">
        <v>97</v>
      </c>
      <c r="P30" s="44">
        <v>1761876.36</v>
      </c>
      <c r="Q30" s="44">
        <v>1803947.4665999999</v>
      </c>
      <c r="R30" s="3">
        <v>608657.98400000005</v>
      </c>
      <c r="S30" s="3">
        <v>180040.57070000001</v>
      </c>
    </row>
    <row r="31" spans="1:19" x14ac:dyDescent="0.3">
      <c r="A31" s="30">
        <v>2012</v>
      </c>
      <c r="B31" s="30" t="s">
        <v>7</v>
      </c>
      <c r="C31" s="27" t="s">
        <v>88</v>
      </c>
      <c r="D31" s="30" t="s">
        <v>114</v>
      </c>
      <c r="E31" s="30">
        <v>810222.33270000003</v>
      </c>
      <c r="F31" s="29">
        <v>520</v>
      </c>
      <c r="G31" s="30">
        <v>497</v>
      </c>
      <c r="H31" s="30">
        <v>1630.2260000000001</v>
      </c>
      <c r="I31" s="30">
        <v>342099.5221</v>
      </c>
      <c r="K31" s="21" t="s">
        <v>90</v>
      </c>
      <c r="L31" s="3">
        <v>7500084.3884999994</v>
      </c>
      <c r="M31" s="3">
        <v>4085101.3119000001</v>
      </c>
      <c r="O31" s="21" t="s">
        <v>93</v>
      </c>
      <c r="P31" s="44">
        <v>4483.37</v>
      </c>
      <c r="Q31" s="44">
        <v>2207193.8141000001</v>
      </c>
      <c r="R31" s="3">
        <v>2049.0981999999999</v>
      </c>
      <c r="S31" s="3">
        <v>3222682.8805999998</v>
      </c>
    </row>
    <row r="32" spans="1:19" x14ac:dyDescent="0.3">
      <c r="A32" s="30">
        <v>2012</v>
      </c>
      <c r="B32" s="30" t="s">
        <v>7</v>
      </c>
      <c r="C32" s="27" t="s">
        <v>94</v>
      </c>
      <c r="D32" s="30" t="s">
        <v>116</v>
      </c>
      <c r="E32" s="30">
        <v>712700.96409999998</v>
      </c>
      <c r="F32" s="29">
        <v>423</v>
      </c>
      <c r="G32" s="30">
        <v>405</v>
      </c>
      <c r="H32" s="30">
        <v>1759.7554</v>
      </c>
      <c r="I32" s="30">
        <v>291864.2965</v>
      </c>
      <c r="K32" s="21" t="s">
        <v>91</v>
      </c>
      <c r="L32" s="3">
        <v>2360943.1311000003</v>
      </c>
      <c r="M32" s="3">
        <v>2477244.4696</v>
      </c>
      <c r="O32" s="21" t="s">
        <v>90</v>
      </c>
      <c r="P32" s="44">
        <v>2091249.51</v>
      </c>
      <c r="Q32" s="44">
        <v>5408834.8784999996</v>
      </c>
      <c r="R32" s="3">
        <v>619068.47990000003</v>
      </c>
      <c r="S32" s="3">
        <v>3466032.8319999999</v>
      </c>
    </row>
    <row r="33" spans="1:25" x14ac:dyDescent="0.3">
      <c r="A33" s="30">
        <v>2012</v>
      </c>
      <c r="B33" s="30" t="s">
        <v>7</v>
      </c>
      <c r="C33" s="27" t="s">
        <v>96</v>
      </c>
      <c r="D33" s="30" t="s">
        <v>116</v>
      </c>
      <c r="E33" s="30">
        <v>648065.53830000001</v>
      </c>
      <c r="F33" s="29">
        <v>373</v>
      </c>
      <c r="G33" s="30">
        <v>359</v>
      </c>
      <c r="H33" s="30">
        <v>1805.1964</v>
      </c>
      <c r="I33" s="30">
        <v>265460.29119999998</v>
      </c>
      <c r="K33" s="21" t="s">
        <v>88</v>
      </c>
      <c r="L33" s="3">
        <v>9734390.8060999997</v>
      </c>
      <c r="M33" s="3">
        <v>8513723.4082999993</v>
      </c>
      <c r="O33" s="21" t="s">
        <v>91</v>
      </c>
      <c r="P33" s="44">
        <v>8526.4699999999993</v>
      </c>
      <c r="Q33" s="44">
        <v>2352416.6611000001</v>
      </c>
      <c r="R33" s="3">
        <v>3637.3996000000002</v>
      </c>
      <c r="S33" s="3">
        <v>2473607.0699999998</v>
      </c>
    </row>
    <row r="34" spans="1:25" x14ac:dyDescent="0.3">
      <c r="A34" s="30">
        <v>2012</v>
      </c>
      <c r="B34" s="30" t="s">
        <v>7</v>
      </c>
      <c r="C34" s="27" t="s">
        <v>90</v>
      </c>
      <c r="D34" s="30" t="s">
        <v>114</v>
      </c>
      <c r="E34" s="30">
        <v>619068.47990000003</v>
      </c>
      <c r="F34" s="29">
        <v>369</v>
      </c>
      <c r="G34" s="30">
        <v>365</v>
      </c>
      <c r="H34" s="30">
        <v>1696.078</v>
      </c>
      <c r="I34" s="30">
        <v>258456.09599999999</v>
      </c>
      <c r="K34" s="21" t="s">
        <v>94</v>
      </c>
      <c r="L34" s="3">
        <v>4844039.6666999999</v>
      </c>
      <c r="M34" s="3">
        <v>2190990.7215</v>
      </c>
      <c r="O34" s="21" t="s">
        <v>88</v>
      </c>
      <c r="P34" s="44">
        <v>3356890.1</v>
      </c>
      <c r="Q34" s="44">
        <v>6377500.7061000001</v>
      </c>
      <c r="R34" s="3">
        <v>810222.33270000003</v>
      </c>
      <c r="S34" s="3">
        <v>7703501.0756000001</v>
      </c>
    </row>
    <row r="35" spans="1:25" x14ac:dyDescent="0.3">
      <c r="A35" s="30">
        <v>2012</v>
      </c>
      <c r="B35" s="30" t="s">
        <v>7</v>
      </c>
      <c r="C35" s="27" t="s">
        <v>97</v>
      </c>
      <c r="D35" s="30" t="s">
        <v>116</v>
      </c>
      <c r="E35" s="30">
        <v>608657.98400000005</v>
      </c>
      <c r="F35" s="29">
        <v>368</v>
      </c>
      <c r="G35" s="30">
        <v>339</v>
      </c>
      <c r="H35" s="30">
        <v>1795.4512</v>
      </c>
      <c r="I35" s="30">
        <v>248027.1704</v>
      </c>
      <c r="K35" s="21" t="s">
        <v>18</v>
      </c>
      <c r="L35" s="3">
        <v>49926384.49719999</v>
      </c>
      <c r="M35" s="3">
        <v>34036116.727300003</v>
      </c>
      <c r="O35" s="21" t="s">
        <v>94</v>
      </c>
      <c r="P35" s="44">
        <v>2124007.29</v>
      </c>
      <c r="Q35" s="44">
        <v>2720032.3766999999</v>
      </c>
      <c r="R35" s="3">
        <v>712700.96409999998</v>
      </c>
      <c r="S35" s="3">
        <v>1478289.7574</v>
      </c>
    </row>
    <row r="36" spans="1:25" x14ac:dyDescent="0.3">
      <c r="A36" s="30">
        <v>2012</v>
      </c>
      <c r="B36" s="30" t="s">
        <v>7</v>
      </c>
      <c r="C36" s="27" t="s">
        <v>89</v>
      </c>
      <c r="D36" s="30" t="s">
        <v>114</v>
      </c>
      <c r="E36" s="30">
        <v>307604.52370000002</v>
      </c>
      <c r="F36" s="29">
        <v>172</v>
      </c>
      <c r="G36" s="30">
        <v>169</v>
      </c>
      <c r="H36" s="30">
        <v>1820.1451</v>
      </c>
      <c r="I36" s="30">
        <v>126630.0303</v>
      </c>
      <c r="O36" s="21" t="s">
        <v>18</v>
      </c>
      <c r="P36" s="87">
        <v>16351550.34</v>
      </c>
      <c r="Q36" s="87">
        <v>33574834.157200001</v>
      </c>
      <c r="R36" s="3">
        <v>5842485.1952</v>
      </c>
      <c r="S36" s="3">
        <v>28193631.532099999</v>
      </c>
    </row>
    <row r="37" spans="1:25" x14ac:dyDescent="0.3">
      <c r="A37" s="30">
        <v>2012</v>
      </c>
      <c r="B37" s="30" t="s">
        <v>8</v>
      </c>
      <c r="C37" s="27" t="s">
        <v>97</v>
      </c>
      <c r="D37" s="30" t="s">
        <v>116</v>
      </c>
      <c r="E37" s="30">
        <v>180040.57070000001</v>
      </c>
      <c r="F37" s="29">
        <v>756</v>
      </c>
      <c r="G37" s="30">
        <v>9</v>
      </c>
      <c r="H37" s="30">
        <v>20004.507799999999</v>
      </c>
      <c r="I37" s="30">
        <v>-42434.321900000003</v>
      </c>
      <c r="P37" s="12"/>
      <c r="Q37" s="8">
        <f>P36+Q36</f>
        <v>49926384.497199997</v>
      </c>
    </row>
    <row r="38" spans="1:25" x14ac:dyDescent="0.3">
      <c r="A38" s="30">
        <v>2012</v>
      </c>
      <c r="B38" s="30" t="s">
        <v>8</v>
      </c>
      <c r="C38" s="27" t="s">
        <v>95</v>
      </c>
      <c r="D38" s="30" t="s">
        <v>115</v>
      </c>
      <c r="E38" s="30">
        <v>49824.714200000002</v>
      </c>
      <c r="F38" s="29">
        <v>124</v>
      </c>
      <c r="G38" s="30">
        <v>7</v>
      </c>
      <c r="H38" s="30">
        <v>7117.8163000000004</v>
      </c>
      <c r="I38" s="30">
        <v>-16771.334500000001</v>
      </c>
    </row>
    <row r="39" spans="1:25" x14ac:dyDescent="0.3">
      <c r="A39" s="30">
        <v>2012</v>
      </c>
      <c r="B39" s="30" t="s">
        <v>7</v>
      </c>
      <c r="C39" s="27" t="s">
        <v>91</v>
      </c>
      <c r="D39" s="30" t="s">
        <v>114</v>
      </c>
      <c r="E39" s="30">
        <v>3637.3996000000002</v>
      </c>
      <c r="F39" s="29">
        <v>3</v>
      </c>
      <c r="G39" s="30">
        <v>3</v>
      </c>
      <c r="H39" s="30">
        <v>1212.4665</v>
      </c>
      <c r="I39" s="30">
        <v>1546.1305</v>
      </c>
    </row>
    <row r="40" spans="1:25" x14ac:dyDescent="0.3">
      <c r="A40" s="30">
        <v>2012</v>
      </c>
      <c r="B40" s="30" t="s">
        <v>7</v>
      </c>
      <c r="C40" s="27" t="s">
        <v>92</v>
      </c>
      <c r="D40" s="30" t="s">
        <v>114</v>
      </c>
      <c r="E40" s="30">
        <v>2071.4196000000002</v>
      </c>
      <c r="F40" s="29">
        <v>1</v>
      </c>
      <c r="G40" s="30">
        <v>1</v>
      </c>
      <c r="H40" s="30">
        <v>2071.4196000000002</v>
      </c>
      <c r="I40" s="30">
        <v>953.56370000000004</v>
      </c>
      <c r="K40" s="24" t="s">
        <v>110</v>
      </c>
      <c r="L40" s="24"/>
      <c r="M40" s="24"/>
      <c r="N40" s="5"/>
      <c r="O40" s="24" t="s">
        <v>111</v>
      </c>
      <c r="P40" s="24"/>
      <c r="Q40" s="24"/>
      <c r="R40" s="5"/>
      <c r="S40" s="5"/>
      <c r="T40" s="5"/>
      <c r="U40" s="5"/>
      <c r="V40" s="24" t="s">
        <v>112</v>
      </c>
      <c r="W40" s="24"/>
      <c r="X40" s="24"/>
      <c r="Y40" s="24"/>
    </row>
    <row r="41" spans="1:25" x14ac:dyDescent="0.3">
      <c r="A41" s="30">
        <v>2012</v>
      </c>
      <c r="B41" s="30" t="s">
        <v>7</v>
      </c>
      <c r="C41" s="27" t="s">
        <v>93</v>
      </c>
      <c r="D41" s="30" t="s">
        <v>114</v>
      </c>
      <c r="E41" s="30">
        <v>2049.0981999999999</v>
      </c>
      <c r="F41" s="29">
        <v>1</v>
      </c>
      <c r="G41" s="30">
        <v>1</v>
      </c>
      <c r="H41" s="30">
        <v>2049.0981999999999</v>
      </c>
      <c r="I41" s="30">
        <v>943.28819999999996</v>
      </c>
      <c r="K41" s="20" t="s">
        <v>98</v>
      </c>
      <c r="L41" s="20" t="s">
        <v>19</v>
      </c>
      <c r="P41" s="20" t="s">
        <v>19</v>
      </c>
      <c r="V41" s="20" t="s">
        <v>98</v>
      </c>
      <c r="W41" s="20" t="s">
        <v>19</v>
      </c>
    </row>
    <row r="42" spans="1:25" x14ac:dyDescent="0.3">
      <c r="A42" s="30">
        <v>2011</v>
      </c>
      <c r="B42" s="30" t="s">
        <v>8</v>
      </c>
      <c r="C42" s="27" t="s">
        <v>88</v>
      </c>
      <c r="D42" s="30" t="s">
        <v>114</v>
      </c>
      <c r="E42" s="30">
        <v>4285400.5773</v>
      </c>
      <c r="F42" s="29">
        <v>6978</v>
      </c>
      <c r="G42" s="30">
        <v>180</v>
      </c>
      <c r="H42" s="30">
        <v>23807.780900000002</v>
      </c>
      <c r="I42" s="30">
        <v>-97883.423299999995</v>
      </c>
      <c r="K42" s="20" t="s">
        <v>17</v>
      </c>
      <c r="L42">
        <v>2013</v>
      </c>
      <c r="M42">
        <v>2012</v>
      </c>
      <c r="P42">
        <v>2013</v>
      </c>
      <c r="V42" s="20" t="s">
        <v>17</v>
      </c>
      <c r="W42">
        <v>2013</v>
      </c>
      <c r="X42">
        <v>2012</v>
      </c>
      <c r="Y42" s="22" t="s">
        <v>117</v>
      </c>
    </row>
    <row r="43" spans="1:25" x14ac:dyDescent="0.3">
      <c r="A43" s="30">
        <v>2011</v>
      </c>
      <c r="B43" s="30" t="s">
        <v>8</v>
      </c>
      <c r="C43" s="27" t="s">
        <v>89</v>
      </c>
      <c r="D43" s="30" t="s">
        <v>114</v>
      </c>
      <c r="E43" s="30">
        <v>3602561.1201999998</v>
      </c>
      <c r="F43" s="29">
        <v>6462</v>
      </c>
      <c r="G43" s="30">
        <v>161</v>
      </c>
      <c r="H43" s="30">
        <v>22376.155999999999</v>
      </c>
      <c r="I43" s="30">
        <v>-22014.497100000001</v>
      </c>
      <c r="K43" s="21" t="s">
        <v>114</v>
      </c>
      <c r="L43" s="3">
        <v>30930003.0097</v>
      </c>
      <c r="M43" s="3">
        <v>26844140.251999997</v>
      </c>
      <c r="O43" s="20" t="s">
        <v>17</v>
      </c>
      <c r="P43" t="s">
        <v>98</v>
      </c>
      <c r="Q43" t="s">
        <v>100</v>
      </c>
      <c r="R43" s="10" t="s">
        <v>118</v>
      </c>
      <c r="S43" s="1"/>
      <c r="T43" s="1"/>
      <c r="U43" s="1"/>
      <c r="V43" s="21" t="s">
        <v>95</v>
      </c>
      <c r="W43" s="3">
        <v>5883954.0425000004</v>
      </c>
      <c r="X43" s="3">
        <v>2178232.1692999997</v>
      </c>
      <c r="Y43" s="1">
        <f>(W43-X43)/X43</f>
        <v>1.7012520177731456</v>
      </c>
    </row>
    <row r="44" spans="1:25" x14ac:dyDescent="0.3">
      <c r="A44" s="30">
        <v>2011</v>
      </c>
      <c r="B44" s="30" t="s">
        <v>8</v>
      </c>
      <c r="C44" s="27" t="s">
        <v>90</v>
      </c>
      <c r="D44" s="30" t="s">
        <v>114</v>
      </c>
      <c r="E44" s="30">
        <v>3466302.6845</v>
      </c>
      <c r="F44" s="29">
        <v>4116</v>
      </c>
      <c r="G44" s="30">
        <v>120</v>
      </c>
      <c r="H44" s="30">
        <v>28885.8557</v>
      </c>
      <c r="I44" s="30">
        <v>50150.076399999998</v>
      </c>
      <c r="K44" s="21" t="s">
        <v>116</v>
      </c>
      <c r="L44" s="3">
        <v>13112427.445</v>
      </c>
      <c r="M44" s="3">
        <v>5013744.3059999999</v>
      </c>
      <c r="O44" s="21" t="s">
        <v>95</v>
      </c>
      <c r="P44" s="3">
        <v>5883954.0425000004</v>
      </c>
      <c r="Q44" s="3">
        <v>1650076.9488000001</v>
      </c>
      <c r="R44" s="10">
        <f>Q44/P44</f>
        <v>0.28043674999523077</v>
      </c>
      <c r="V44" s="21" t="s">
        <v>89</v>
      </c>
      <c r="W44" s="3">
        <v>6267536.0446000006</v>
      </c>
      <c r="X44" s="3">
        <v>5785704.7094000001</v>
      </c>
      <c r="Y44" s="1">
        <f t="shared" ref="Y44:Y53" si="0">(W44-X44)/X44</f>
        <v>8.3279627876129261E-2</v>
      </c>
    </row>
    <row r="45" spans="1:25" x14ac:dyDescent="0.3">
      <c r="A45" s="30">
        <v>2011</v>
      </c>
      <c r="B45" s="30" t="s">
        <v>8</v>
      </c>
      <c r="C45" s="27" t="s">
        <v>91</v>
      </c>
      <c r="D45" s="30" t="s">
        <v>114</v>
      </c>
      <c r="E45" s="30">
        <v>2902228.2996999999</v>
      </c>
      <c r="F45" s="29">
        <v>3957</v>
      </c>
      <c r="G45" s="30">
        <v>129</v>
      </c>
      <c r="H45" s="30">
        <v>22497.893700000001</v>
      </c>
      <c r="I45" s="30">
        <v>47157.947500000002</v>
      </c>
      <c r="K45" s="21" t="s">
        <v>115</v>
      </c>
      <c r="L45" s="3">
        <v>5883954.0425000004</v>
      </c>
      <c r="M45" s="3">
        <v>2178232.1692999997</v>
      </c>
      <c r="O45" s="21" t="s">
        <v>89</v>
      </c>
      <c r="P45" s="3">
        <v>6267536.0446000006</v>
      </c>
      <c r="Q45" s="3">
        <v>444797.48110000003</v>
      </c>
      <c r="R45" s="10">
        <f t="shared" ref="R45:R54" si="1">Q45/P45</f>
        <v>7.0968475958463728E-2</v>
      </c>
      <c r="V45" s="21" t="s">
        <v>92</v>
      </c>
      <c r="W45" s="3">
        <v>2855371.4553</v>
      </c>
      <c r="X45" s="3">
        <v>2757634.3740000003</v>
      </c>
      <c r="Y45" s="1">
        <f t="shared" si="0"/>
        <v>3.5442364013699997E-2</v>
      </c>
    </row>
    <row r="46" spans="1:25" x14ac:dyDescent="0.3">
      <c r="A46" s="30">
        <v>2011</v>
      </c>
      <c r="B46" s="30" t="s">
        <v>7</v>
      </c>
      <c r="C46" s="27" t="s">
        <v>95</v>
      </c>
      <c r="D46" s="30" t="s">
        <v>115</v>
      </c>
      <c r="E46" s="30">
        <v>2563732.2492999998</v>
      </c>
      <c r="F46" s="29">
        <v>786</v>
      </c>
      <c r="G46" s="30">
        <v>786</v>
      </c>
      <c r="H46" s="30">
        <v>3261.7458000000001</v>
      </c>
      <c r="I46" s="30">
        <v>1038517.2275</v>
      </c>
      <c r="K46" s="21" t="s">
        <v>18</v>
      </c>
      <c r="L46" s="3">
        <v>49926384.497199997</v>
      </c>
      <c r="M46" s="3">
        <v>34036116.727299996</v>
      </c>
      <c r="O46" s="21" t="s">
        <v>92</v>
      </c>
      <c r="P46" s="3">
        <v>2855371.4553</v>
      </c>
      <c r="Q46" s="3">
        <v>15246.4529</v>
      </c>
      <c r="R46" s="10">
        <f t="shared" si="1"/>
        <v>5.3395689978269845E-3</v>
      </c>
      <c r="V46" s="21" t="s">
        <v>96</v>
      </c>
      <c r="W46" s="3">
        <v>4702563.9517000001</v>
      </c>
      <c r="X46" s="3">
        <v>2034055.0298000001</v>
      </c>
      <c r="Y46" s="1">
        <f t="shared" si="0"/>
        <v>1.3119157951996918</v>
      </c>
    </row>
    <row r="47" spans="1:25" x14ac:dyDescent="0.3">
      <c r="A47" s="30">
        <v>2011</v>
      </c>
      <c r="B47" s="30" t="s">
        <v>8</v>
      </c>
      <c r="C47" s="27" t="s">
        <v>92</v>
      </c>
      <c r="D47" s="30" t="s">
        <v>114</v>
      </c>
      <c r="E47" s="30">
        <v>2276760.1137000001</v>
      </c>
      <c r="F47" s="29">
        <v>3352</v>
      </c>
      <c r="G47" s="30">
        <v>92</v>
      </c>
      <c r="H47" s="30">
        <v>24747.392500000002</v>
      </c>
      <c r="I47" s="30">
        <v>44180.931600000004</v>
      </c>
      <c r="O47" s="21" t="s">
        <v>96</v>
      </c>
      <c r="P47" s="3">
        <v>4702563.9517000001</v>
      </c>
      <c r="Q47" s="3">
        <v>562048.70499999996</v>
      </c>
      <c r="R47" s="10">
        <f t="shared" si="1"/>
        <v>0.11951963030653025</v>
      </c>
      <c r="V47" s="21" t="s">
        <v>97</v>
      </c>
      <c r="W47" s="3">
        <v>3565823.8266000003</v>
      </c>
      <c r="X47" s="3">
        <v>788698.5547000001</v>
      </c>
      <c r="Y47" s="1">
        <f t="shared" si="0"/>
        <v>3.5211491834879101</v>
      </c>
    </row>
    <row r="48" spans="1:25" x14ac:dyDescent="0.3">
      <c r="A48" s="30">
        <v>2011</v>
      </c>
      <c r="B48" s="30" t="s">
        <v>7</v>
      </c>
      <c r="C48" s="27" t="s">
        <v>88</v>
      </c>
      <c r="D48" s="30" t="s">
        <v>114</v>
      </c>
      <c r="E48" s="30">
        <v>1531228.4113</v>
      </c>
      <c r="F48" s="29">
        <v>481</v>
      </c>
      <c r="G48" s="30">
        <v>481</v>
      </c>
      <c r="H48" s="30">
        <v>3183.4270000000001</v>
      </c>
      <c r="I48" s="30">
        <v>611467.65780000004</v>
      </c>
      <c r="O48" s="21" t="s">
        <v>97</v>
      </c>
      <c r="P48" s="3">
        <v>3565823.8266000003</v>
      </c>
      <c r="Q48" s="3">
        <v>659120.61229999992</v>
      </c>
      <c r="R48" s="10">
        <f t="shared" si="1"/>
        <v>0.18484385217888596</v>
      </c>
      <c r="V48" s="21" t="s">
        <v>93</v>
      </c>
      <c r="W48" s="3">
        <v>2211677.1841000002</v>
      </c>
      <c r="X48" s="3">
        <v>3224731.9787999997</v>
      </c>
      <c r="Y48" s="1">
        <f t="shared" si="0"/>
        <v>-0.31415162604520752</v>
      </c>
    </row>
    <row r="49" spans="1:25" x14ac:dyDescent="0.3">
      <c r="A49" s="30">
        <v>2011</v>
      </c>
      <c r="B49" s="30" t="s">
        <v>8</v>
      </c>
      <c r="C49" s="27" t="s">
        <v>93</v>
      </c>
      <c r="D49" s="30" t="s">
        <v>114</v>
      </c>
      <c r="E49" s="30">
        <v>1481366.9346</v>
      </c>
      <c r="F49" s="29">
        <v>2986</v>
      </c>
      <c r="G49" s="30">
        <v>83</v>
      </c>
      <c r="H49" s="30">
        <v>17847.794300000001</v>
      </c>
      <c r="I49" s="30">
        <v>7506.5042999999996</v>
      </c>
      <c r="O49" s="21" t="s">
        <v>93</v>
      </c>
      <c r="P49" s="3">
        <v>2211677.1841000002</v>
      </c>
      <c r="Q49" s="3">
        <v>-36035.149100000002</v>
      </c>
      <c r="R49" s="10">
        <f t="shared" si="1"/>
        <v>-1.6293132360843982E-2</v>
      </c>
      <c r="V49" s="21" t="s">
        <v>90</v>
      </c>
      <c r="W49" s="3">
        <v>7500084.3884999994</v>
      </c>
      <c r="X49" s="3">
        <v>4085101.3119000001</v>
      </c>
      <c r="Y49" s="1">
        <f t="shared" si="0"/>
        <v>0.83596043668539388</v>
      </c>
    </row>
    <row r="50" spans="1:25" x14ac:dyDescent="0.3">
      <c r="A50" s="30">
        <v>2011</v>
      </c>
      <c r="B50" s="30" t="s">
        <v>7</v>
      </c>
      <c r="C50" s="27" t="s">
        <v>90</v>
      </c>
      <c r="D50" s="30" t="s">
        <v>114</v>
      </c>
      <c r="E50" s="30">
        <v>927056.76130000001</v>
      </c>
      <c r="F50" s="29">
        <v>289</v>
      </c>
      <c r="G50" s="30">
        <v>289</v>
      </c>
      <c r="H50" s="30">
        <v>3207.8087999999998</v>
      </c>
      <c r="I50" s="30">
        <v>370127.73729999998</v>
      </c>
      <c r="O50" s="21" t="s">
        <v>90</v>
      </c>
      <c r="P50" s="3">
        <v>7500084.3884999994</v>
      </c>
      <c r="Q50" s="3">
        <v>878355.73639999994</v>
      </c>
      <c r="R50" s="10">
        <f t="shared" si="1"/>
        <v>0.11711278045708352</v>
      </c>
      <c r="V50" s="21" t="s">
        <v>91</v>
      </c>
      <c r="W50" s="3">
        <v>2360943.1311000003</v>
      </c>
      <c r="X50" s="3">
        <v>2477244.4696</v>
      </c>
      <c r="Y50" s="1">
        <f t="shared" si="0"/>
        <v>-4.6947864826106064E-2</v>
      </c>
    </row>
    <row r="51" spans="1:25" x14ac:dyDescent="0.3">
      <c r="A51" s="30">
        <v>2011</v>
      </c>
      <c r="B51" s="30" t="s">
        <v>7</v>
      </c>
      <c r="C51" s="27" t="s">
        <v>89</v>
      </c>
      <c r="D51" s="30" t="s">
        <v>114</v>
      </c>
      <c r="E51" s="30">
        <v>571571.79839999997</v>
      </c>
      <c r="F51" s="29">
        <v>170</v>
      </c>
      <c r="G51" s="30">
        <v>170</v>
      </c>
      <c r="H51" s="30">
        <v>3362.1869999999999</v>
      </c>
      <c r="I51" s="30">
        <v>227704.19190000001</v>
      </c>
      <c r="O51" s="21" t="s">
        <v>91</v>
      </c>
      <c r="P51" s="3">
        <v>2360943.1311000003</v>
      </c>
      <c r="Q51" s="3">
        <v>-33500.823600000003</v>
      </c>
      <c r="R51" s="10">
        <f t="shared" si="1"/>
        <v>-1.4189593624134201E-2</v>
      </c>
      <c r="V51" s="21" t="s">
        <v>88</v>
      </c>
      <c r="W51" s="3">
        <v>9734390.8060999997</v>
      </c>
      <c r="X51" s="3">
        <v>8513723.4082999993</v>
      </c>
      <c r="Y51" s="1">
        <f t="shared" si="0"/>
        <v>0.14337644521197107</v>
      </c>
    </row>
    <row r="52" spans="1:25" x14ac:dyDescent="0.3">
      <c r="A52" s="30">
        <v>2011</v>
      </c>
      <c r="B52" s="30" t="s">
        <v>7</v>
      </c>
      <c r="C52" s="27" t="s">
        <v>94</v>
      </c>
      <c r="D52" s="30" t="s">
        <v>116</v>
      </c>
      <c r="E52" s="30">
        <v>550591.21860000002</v>
      </c>
      <c r="F52" s="29">
        <v>175</v>
      </c>
      <c r="G52" s="30">
        <v>175</v>
      </c>
      <c r="H52" s="30">
        <v>3146.2354999999998</v>
      </c>
      <c r="I52" s="30">
        <v>222003.4559</v>
      </c>
      <c r="O52" s="21" t="s">
        <v>88</v>
      </c>
      <c r="P52" s="3">
        <v>9734390.8060999997</v>
      </c>
      <c r="Q52" s="3">
        <v>1322210.0730000001</v>
      </c>
      <c r="R52" s="10">
        <f t="shared" si="1"/>
        <v>0.13582874360986666</v>
      </c>
      <c r="V52" s="21" t="s">
        <v>94</v>
      </c>
      <c r="W52" s="3">
        <v>4844039.6666999999</v>
      </c>
      <c r="X52" s="3">
        <v>2190990.7215</v>
      </c>
      <c r="Y52" s="1">
        <f t="shared" si="0"/>
        <v>1.2108900869208907</v>
      </c>
    </row>
    <row r="53" spans="1:25" x14ac:dyDescent="0.3">
      <c r="A53" s="30">
        <v>2011</v>
      </c>
      <c r="B53" s="30" t="s">
        <v>7</v>
      </c>
      <c r="C53" s="27" t="s">
        <v>97</v>
      </c>
      <c r="D53" s="30" t="s">
        <v>116</v>
      </c>
      <c r="E53" s="30">
        <v>520500.1642</v>
      </c>
      <c r="F53" s="29">
        <v>175</v>
      </c>
      <c r="G53" s="30">
        <v>175</v>
      </c>
      <c r="H53" s="30">
        <v>2974.2865999999999</v>
      </c>
      <c r="I53" s="30">
        <v>209514.3965</v>
      </c>
      <c r="O53" s="21" t="s">
        <v>94</v>
      </c>
      <c r="P53" s="3">
        <v>4844039.6666999999</v>
      </c>
      <c r="Q53" s="3">
        <v>811220.92760000005</v>
      </c>
      <c r="R53" s="10">
        <f t="shared" si="1"/>
        <v>0.1674678539849043</v>
      </c>
      <c r="V53" s="21" t="s">
        <v>18</v>
      </c>
      <c r="W53" s="3">
        <v>49926384.49719999</v>
      </c>
      <c r="X53" s="3">
        <v>34036116.727300003</v>
      </c>
      <c r="Y53" s="10">
        <f t="shared" si="0"/>
        <v>0.46686488641504081</v>
      </c>
    </row>
    <row r="54" spans="1:25" x14ac:dyDescent="0.3">
      <c r="A54" s="30">
        <v>2011</v>
      </c>
      <c r="B54" s="30" t="s">
        <v>7</v>
      </c>
      <c r="C54" s="27" t="s">
        <v>96</v>
      </c>
      <c r="D54" s="30" t="s">
        <v>116</v>
      </c>
      <c r="E54" s="30">
        <v>410845.326</v>
      </c>
      <c r="F54" s="29">
        <v>140</v>
      </c>
      <c r="G54" s="30">
        <v>140</v>
      </c>
      <c r="H54" s="30">
        <v>2934.6093999999998</v>
      </c>
      <c r="I54" s="30">
        <v>164729.07120000001</v>
      </c>
      <c r="O54" s="21" t="s">
        <v>18</v>
      </c>
      <c r="P54" s="3">
        <v>49926384.49719999</v>
      </c>
      <c r="Q54" s="3">
        <v>6273540.9643999999</v>
      </c>
      <c r="R54" s="10">
        <f t="shared" si="1"/>
        <v>0.12565582362071176</v>
      </c>
      <c r="Y54" s="1"/>
    </row>
    <row r="55" spans="1:25" x14ac:dyDescent="0.3">
      <c r="A55" s="30">
        <v>2011</v>
      </c>
      <c r="B55" s="30" t="s">
        <v>8</v>
      </c>
      <c r="C55" s="27" t="s">
        <v>96</v>
      </c>
      <c r="D55" s="30" t="s">
        <v>116</v>
      </c>
      <c r="E55" s="30">
        <v>97496.291800000006</v>
      </c>
      <c r="F55" s="29">
        <v>433</v>
      </c>
      <c r="G55" s="30">
        <v>5</v>
      </c>
      <c r="H55" s="30">
        <v>19499.258300000001</v>
      </c>
      <c r="I55" s="30">
        <v>4512.9404000000004</v>
      </c>
    </row>
    <row r="56" spans="1:25" x14ac:dyDescent="0.3">
      <c r="A56" s="30">
        <v>2011</v>
      </c>
      <c r="B56" s="30" t="s">
        <v>8</v>
      </c>
      <c r="C56" s="27" t="s">
        <v>94</v>
      </c>
      <c r="D56" s="30" t="s">
        <v>116</v>
      </c>
      <c r="E56" s="30">
        <v>80686.692500000005</v>
      </c>
      <c r="F56" s="29">
        <v>288</v>
      </c>
      <c r="G56" s="30">
        <v>3</v>
      </c>
      <c r="H56" s="30">
        <v>26895.5641</v>
      </c>
      <c r="I56" s="30">
        <v>-4190.3423000000003</v>
      </c>
    </row>
  </sheetData>
  <mergeCells count="6">
    <mergeCell ref="O22:S22"/>
    <mergeCell ref="K22:M22"/>
    <mergeCell ref="K2:V2"/>
    <mergeCell ref="K40:M40"/>
    <mergeCell ref="O40:Q40"/>
    <mergeCell ref="V40:Y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D241-01C6-4C10-A629-D5346C236595}">
  <dimension ref="A1:S43"/>
  <sheetViews>
    <sheetView zoomScale="80" zoomScaleNormal="80" workbookViewId="0">
      <selection activeCell="L23" sqref="L23"/>
    </sheetView>
  </sheetViews>
  <sheetFormatPr defaultColWidth="31.109375" defaultRowHeight="13.8" x14ac:dyDescent="0.3"/>
  <cols>
    <col min="1" max="1" width="13.33203125" style="57" customWidth="1"/>
    <col min="2" max="2" width="31.109375" style="57"/>
    <col min="3" max="3" width="18.21875" style="57" customWidth="1"/>
    <col min="4" max="4" width="19.6640625" style="57" customWidth="1"/>
    <col min="5" max="5" width="16.33203125" style="57" customWidth="1"/>
    <col min="6" max="6" width="19.6640625" style="57" customWidth="1"/>
    <col min="7" max="7" width="21.109375" style="57" customWidth="1"/>
    <col min="8" max="8" width="15.6640625" style="57" customWidth="1"/>
    <col min="9" max="9" width="19.88671875" style="57" customWidth="1"/>
    <col min="10" max="10" width="7.6640625" style="57" customWidth="1"/>
    <col min="11" max="11" width="12.109375" style="57" bestFit="1" customWidth="1"/>
    <col min="12" max="12" width="23.5546875" style="57" bestFit="1" customWidth="1"/>
    <col min="13" max="13" width="14.21875" style="57" customWidth="1"/>
    <col min="14" max="14" width="13.21875" style="57" bestFit="1" customWidth="1"/>
    <col min="15" max="15" width="11.109375" style="57" bestFit="1" customWidth="1"/>
    <col min="16" max="16" width="14.44140625" style="57" bestFit="1" customWidth="1"/>
    <col min="17" max="17" width="19.44140625" style="57" bestFit="1" customWidth="1"/>
    <col min="18" max="18" width="12.44140625" style="57" bestFit="1" customWidth="1"/>
    <col min="19" max="19" width="13.44140625" style="57" bestFit="1" customWidth="1"/>
    <col min="20" max="16384" width="31.109375" style="57"/>
  </cols>
  <sheetData>
    <row r="1" spans="1:19" s="52" customFormat="1" x14ac:dyDescent="0.3">
      <c r="A1" s="51" t="s">
        <v>2</v>
      </c>
      <c r="B1" s="51" t="s">
        <v>41</v>
      </c>
      <c r="C1" s="51" t="s">
        <v>5</v>
      </c>
      <c r="D1" s="51" t="s">
        <v>4</v>
      </c>
      <c r="E1" s="51" t="s">
        <v>67</v>
      </c>
      <c r="F1" s="51" t="s">
        <v>68</v>
      </c>
      <c r="G1" s="51" t="s">
        <v>69</v>
      </c>
      <c r="L1" s="70" t="s">
        <v>85</v>
      </c>
      <c r="M1" s="70"/>
      <c r="N1" s="70"/>
      <c r="O1" s="70"/>
      <c r="P1" s="70"/>
      <c r="Q1" s="70"/>
      <c r="R1" s="70"/>
      <c r="S1" s="70"/>
    </row>
    <row r="2" spans="1:19" x14ac:dyDescent="0.3">
      <c r="A2" s="53">
        <v>2013</v>
      </c>
      <c r="B2" s="55">
        <v>33574834.157200001</v>
      </c>
      <c r="C2" s="54">
        <v>103658</v>
      </c>
      <c r="D2" s="54">
        <v>1708</v>
      </c>
      <c r="E2" s="53">
        <v>489</v>
      </c>
      <c r="F2" s="55">
        <v>1974990.2445</v>
      </c>
      <c r="G2" s="56">
        <v>19657.397000000001</v>
      </c>
      <c r="L2" s="65" t="s">
        <v>2</v>
      </c>
      <c r="M2" s="66" t="s">
        <v>87</v>
      </c>
      <c r="N2" s="66" t="s">
        <v>41</v>
      </c>
      <c r="O2" s="66" t="s">
        <v>5</v>
      </c>
      <c r="P2" s="66" t="s">
        <v>4</v>
      </c>
      <c r="Q2" s="66" t="s">
        <v>67</v>
      </c>
      <c r="R2" s="66" t="s">
        <v>68</v>
      </c>
      <c r="S2" s="66" t="s">
        <v>69</v>
      </c>
    </row>
    <row r="3" spans="1:19" x14ac:dyDescent="0.3">
      <c r="A3" s="53">
        <v>2012</v>
      </c>
      <c r="B3" s="55">
        <v>28193631.532099999</v>
      </c>
      <c r="C3" s="54">
        <v>81328</v>
      </c>
      <c r="D3" s="54">
        <v>1277</v>
      </c>
      <c r="E3" s="53">
        <v>401</v>
      </c>
      <c r="F3" s="55">
        <v>1762101.9706999999</v>
      </c>
      <c r="G3" s="56">
        <v>22078.019899999999</v>
      </c>
      <c r="L3" s="67">
        <v>2013</v>
      </c>
      <c r="M3" s="67" t="s">
        <v>88</v>
      </c>
      <c r="N3" s="68">
        <v>6377500.7061000001</v>
      </c>
      <c r="O3" s="67">
        <v>17934</v>
      </c>
      <c r="P3" s="67">
        <v>289</v>
      </c>
      <c r="Q3" s="67">
        <v>81</v>
      </c>
      <c r="R3" s="68">
        <v>1594375.1765000001</v>
      </c>
      <c r="S3" s="68">
        <v>22067.4764</v>
      </c>
    </row>
    <row r="4" spans="1:19" x14ac:dyDescent="0.3">
      <c r="A4" s="58" t="s">
        <v>11</v>
      </c>
      <c r="B4" s="59">
        <f>(B2-B3)/B3</f>
        <v>0.19086589178741328</v>
      </c>
      <c r="C4" s="59">
        <f>(C2-C3)/C3</f>
        <v>0.27456718473342512</v>
      </c>
      <c r="D4" s="59">
        <f t="shared" ref="D4:G4" si="0">(D2-D3)/D3</f>
        <v>0.33750978856695379</v>
      </c>
      <c r="E4" s="59">
        <f t="shared" si="0"/>
        <v>0.21945137157107231</v>
      </c>
      <c r="F4" s="59">
        <f t="shared" si="0"/>
        <v>0.12081495698879993</v>
      </c>
      <c r="G4" s="59">
        <f t="shared" si="0"/>
        <v>-0.10963949262497034</v>
      </c>
      <c r="L4" s="67">
        <v>2013</v>
      </c>
      <c r="M4" s="67" t="s">
        <v>89</v>
      </c>
      <c r="N4" s="68">
        <v>5181903.3946000002</v>
      </c>
      <c r="O4" s="67">
        <v>18196</v>
      </c>
      <c r="P4" s="67">
        <v>273</v>
      </c>
      <c r="Q4" s="67">
        <v>78</v>
      </c>
      <c r="R4" s="68">
        <v>1727301.1314999999</v>
      </c>
      <c r="S4" s="68">
        <v>18981.331099999999</v>
      </c>
    </row>
    <row r="5" spans="1:19" x14ac:dyDescent="0.3">
      <c r="A5" s="58"/>
      <c r="B5" s="59"/>
      <c r="C5" s="59"/>
      <c r="D5" s="59"/>
      <c r="E5" s="59"/>
      <c r="F5" s="59"/>
      <c r="G5" s="59"/>
      <c r="L5" s="67">
        <v>2013</v>
      </c>
      <c r="M5" s="67" t="s">
        <v>90</v>
      </c>
      <c r="N5" s="68">
        <v>5408834.8784999996</v>
      </c>
      <c r="O5" s="67">
        <v>14176</v>
      </c>
      <c r="P5" s="67">
        <v>231</v>
      </c>
      <c r="Q5" s="67">
        <v>64</v>
      </c>
      <c r="R5" s="68">
        <v>901472.47970000003</v>
      </c>
      <c r="S5" s="68">
        <v>23414.869600000002</v>
      </c>
    </row>
    <row r="6" spans="1:19" x14ac:dyDescent="0.3">
      <c r="A6" s="60" t="s">
        <v>66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7">
        <v>2013</v>
      </c>
      <c r="M6" s="67" t="s">
        <v>91</v>
      </c>
      <c r="N6" s="68">
        <v>2352416.6611000001</v>
      </c>
      <c r="O6" s="67">
        <v>7483</v>
      </c>
      <c r="P6" s="67">
        <v>170</v>
      </c>
      <c r="Q6" s="67">
        <v>52</v>
      </c>
      <c r="R6" s="68">
        <v>784138.88699999999</v>
      </c>
      <c r="S6" s="68">
        <v>13837.745000000001</v>
      </c>
    </row>
    <row r="7" spans="1:19" s="52" customFormat="1" x14ac:dyDescent="0.3">
      <c r="A7" s="52" t="s">
        <v>58</v>
      </c>
      <c r="B7" s="52" t="s">
        <v>59</v>
      </c>
      <c r="C7" s="52" t="s">
        <v>2</v>
      </c>
      <c r="D7" s="52" t="s">
        <v>3</v>
      </c>
      <c r="E7" s="52" t="s">
        <v>4</v>
      </c>
      <c r="F7" s="52" t="s">
        <v>5</v>
      </c>
      <c r="G7" s="52" t="s">
        <v>6</v>
      </c>
      <c r="H7" s="52" t="s">
        <v>9</v>
      </c>
      <c r="I7" s="52" t="s">
        <v>20</v>
      </c>
      <c r="L7" s="66">
        <v>2013</v>
      </c>
      <c r="M7" s="66" t="s">
        <v>92</v>
      </c>
      <c r="N7" s="69">
        <v>2854442.0452999999</v>
      </c>
      <c r="O7" s="66">
        <v>8521</v>
      </c>
      <c r="P7" s="66">
        <v>138</v>
      </c>
      <c r="Q7" s="66">
        <v>42</v>
      </c>
      <c r="R7" s="69">
        <v>570888.40899999999</v>
      </c>
      <c r="S7" s="69">
        <v>20684.3626</v>
      </c>
    </row>
    <row r="8" spans="1:19" x14ac:dyDescent="0.3">
      <c r="A8" s="57">
        <v>291</v>
      </c>
      <c r="B8" s="57" t="s">
        <v>61</v>
      </c>
      <c r="C8" s="57">
        <v>2012</v>
      </c>
      <c r="D8" s="61">
        <v>4239149.4759999998</v>
      </c>
      <c r="E8" s="57">
        <v>165</v>
      </c>
      <c r="F8" s="57">
        <v>12343</v>
      </c>
      <c r="G8" s="61">
        <v>196963.31830000001</v>
      </c>
      <c r="H8" s="57">
        <v>48</v>
      </c>
      <c r="I8" s="61">
        <v>4042186.1576999999</v>
      </c>
      <c r="J8" s="61"/>
      <c r="L8" s="67">
        <v>2013</v>
      </c>
      <c r="M8" s="67" t="s">
        <v>93</v>
      </c>
      <c r="N8" s="68">
        <v>2207193.8141000001</v>
      </c>
      <c r="O8" s="67">
        <v>8007</v>
      </c>
      <c r="P8" s="67">
        <v>135</v>
      </c>
      <c r="Q8" s="67">
        <v>39</v>
      </c>
      <c r="R8" s="68">
        <v>2207193.8141000001</v>
      </c>
      <c r="S8" s="68">
        <v>16349.5838</v>
      </c>
    </row>
    <row r="9" spans="1:19" x14ac:dyDescent="0.3">
      <c r="A9" s="57">
        <v>282</v>
      </c>
      <c r="B9" s="57" t="s">
        <v>60</v>
      </c>
      <c r="C9" s="57">
        <v>2012</v>
      </c>
      <c r="D9" s="61">
        <v>4052371.4389999998</v>
      </c>
      <c r="E9" s="57">
        <v>163</v>
      </c>
      <c r="F9" s="57">
        <v>12003</v>
      </c>
      <c r="G9" s="61">
        <v>154472.40119999999</v>
      </c>
      <c r="H9" s="57">
        <v>51</v>
      </c>
      <c r="I9" s="61">
        <v>3897899.0378</v>
      </c>
      <c r="J9" s="61"/>
      <c r="L9" s="67">
        <v>2013</v>
      </c>
      <c r="M9" s="67" t="s">
        <v>94</v>
      </c>
      <c r="N9" s="68">
        <v>2720032.3766999999</v>
      </c>
      <c r="O9" s="67">
        <v>8350</v>
      </c>
      <c r="P9" s="67">
        <v>116</v>
      </c>
      <c r="Q9" s="67">
        <v>35</v>
      </c>
      <c r="R9" s="68">
        <v>1360016.1883</v>
      </c>
      <c r="S9" s="68">
        <v>23448.554899999999</v>
      </c>
    </row>
    <row r="10" spans="1:19" x14ac:dyDescent="0.3">
      <c r="A10" s="57">
        <v>283</v>
      </c>
      <c r="B10" s="57" t="s">
        <v>64</v>
      </c>
      <c r="C10" s="57">
        <v>2012</v>
      </c>
      <c r="D10" s="61">
        <v>4001528.0331999999</v>
      </c>
      <c r="E10" s="57">
        <v>172</v>
      </c>
      <c r="F10" s="57">
        <v>11141</v>
      </c>
      <c r="G10" s="61">
        <v>148726.18210000001</v>
      </c>
      <c r="H10" s="57">
        <v>93</v>
      </c>
      <c r="I10" s="61">
        <v>3852801.8511000001</v>
      </c>
      <c r="J10" s="61"/>
      <c r="L10" s="67">
        <v>2013</v>
      </c>
      <c r="M10" s="67" t="s">
        <v>95</v>
      </c>
      <c r="N10" s="68">
        <v>1544510.6625000001</v>
      </c>
      <c r="O10" s="67">
        <v>4824</v>
      </c>
      <c r="P10" s="67">
        <v>118</v>
      </c>
      <c r="Q10" s="67">
        <v>34</v>
      </c>
      <c r="R10" s="68">
        <v>772255.33120000002</v>
      </c>
      <c r="S10" s="68">
        <v>13089.073399999999</v>
      </c>
    </row>
    <row r="11" spans="1:19" x14ac:dyDescent="0.3">
      <c r="A11" s="57">
        <v>281</v>
      </c>
      <c r="B11" s="57" t="s">
        <v>62</v>
      </c>
      <c r="C11" s="57">
        <v>2012</v>
      </c>
      <c r="D11" s="61">
        <v>3756927.392</v>
      </c>
      <c r="E11" s="57">
        <v>160</v>
      </c>
      <c r="F11" s="57">
        <v>9929</v>
      </c>
      <c r="G11" s="61">
        <v>94484.187900000004</v>
      </c>
      <c r="H11" s="57">
        <v>94</v>
      </c>
      <c r="I11" s="61">
        <v>3662443.2041000002</v>
      </c>
      <c r="J11" s="61"/>
      <c r="L11" s="67">
        <v>2013</v>
      </c>
      <c r="M11" s="67" t="s">
        <v>96</v>
      </c>
      <c r="N11" s="68">
        <v>3124052.1516999998</v>
      </c>
      <c r="O11" s="67">
        <v>9543</v>
      </c>
      <c r="P11" s="67">
        <v>118</v>
      </c>
      <c r="Q11" s="67">
        <v>33</v>
      </c>
      <c r="R11" s="68">
        <v>1562026.0758</v>
      </c>
      <c r="S11" s="68">
        <v>26475.018199999999</v>
      </c>
    </row>
    <row r="12" spans="1:19" x14ac:dyDescent="0.3">
      <c r="A12" s="57">
        <v>292</v>
      </c>
      <c r="B12" s="57" t="s">
        <v>63</v>
      </c>
      <c r="C12" s="57">
        <v>2012</v>
      </c>
      <c r="D12" s="61">
        <v>1346241.7272000001</v>
      </c>
      <c r="E12" s="57">
        <v>60</v>
      </c>
      <c r="F12" s="57">
        <v>4303</v>
      </c>
      <c r="G12" s="61">
        <v>45015.582900000001</v>
      </c>
      <c r="H12" s="57">
        <v>18</v>
      </c>
      <c r="I12" s="61">
        <v>1301226.1443</v>
      </c>
      <c r="J12" s="61"/>
      <c r="L12" s="67">
        <v>2013</v>
      </c>
      <c r="M12" s="67" t="s">
        <v>97</v>
      </c>
      <c r="N12" s="68">
        <v>1803947.4665999999</v>
      </c>
      <c r="O12" s="67">
        <v>6624</v>
      </c>
      <c r="P12" s="67">
        <v>120</v>
      </c>
      <c r="Q12" s="67">
        <v>31</v>
      </c>
      <c r="R12" s="68">
        <v>901973.73329999996</v>
      </c>
      <c r="S12" s="68">
        <v>15032.895500000001</v>
      </c>
    </row>
    <row r="13" spans="1:19" x14ac:dyDescent="0.3">
      <c r="E13" s="61"/>
      <c r="H13" s="61"/>
      <c r="K13" s="61"/>
    </row>
    <row r="14" spans="1:19" x14ac:dyDescent="0.3">
      <c r="A14" s="60" t="s">
        <v>65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</row>
    <row r="15" spans="1:19" s="62" customFormat="1" x14ac:dyDescent="0.3">
      <c r="A15" s="62" t="s">
        <v>58</v>
      </c>
      <c r="B15" s="62" t="s">
        <v>59</v>
      </c>
      <c r="C15" s="62" t="s">
        <v>2</v>
      </c>
      <c r="D15" s="63" t="s">
        <v>3</v>
      </c>
      <c r="E15" s="62" t="s">
        <v>4</v>
      </c>
      <c r="F15" s="62" t="s">
        <v>5</v>
      </c>
      <c r="G15" s="63" t="s">
        <v>6</v>
      </c>
      <c r="H15" s="62" t="s">
        <v>9</v>
      </c>
      <c r="I15" s="63" t="s">
        <v>20</v>
      </c>
      <c r="J15" s="63"/>
    </row>
    <row r="16" spans="1:19" x14ac:dyDescent="0.3">
      <c r="A16" s="57">
        <v>282</v>
      </c>
      <c r="B16" s="57" t="s">
        <v>60</v>
      </c>
      <c r="C16" s="57">
        <v>2013</v>
      </c>
      <c r="D16" s="61">
        <v>3943176.2448999998</v>
      </c>
      <c r="E16" s="57">
        <v>160</v>
      </c>
      <c r="F16" s="57">
        <v>12077</v>
      </c>
      <c r="G16" s="61">
        <v>26066.1463</v>
      </c>
      <c r="H16" s="57">
        <v>43</v>
      </c>
      <c r="I16" s="61">
        <v>3917110.0986000001</v>
      </c>
      <c r="J16" s="61"/>
    </row>
    <row r="17" spans="1:19" x14ac:dyDescent="0.3">
      <c r="A17" s="57">
        <v>291</v>
      </c>
      <c r="B17" s="57" t="s">
        <v>61</v>
      </c>
      <c r="C17" s="57">
        <v>2013</v>
      </c>
      <c r="D17" s="61">
        <v>3632484.9119000002</v>
      </c>
      <c r="E17" s="57">
        <v>175</v>
      </c>
      <c r="F17" s="57">
        <v>12087</v>
      </c>
      <c r="G17" s="61">
        <v>15439.213900000001</v>
      </c>
      <c r="H17" s="57">
        <v>50</v>
      </c>
      <c r="I17" s="61">
        <v>3617045.6979999999</v>
      </c>
      <c r="J17" s="61"/>
    </row>
    <row r="18" spans="1:19" x14ac:dyDescent="0.3">
      <c r="A18" s="57">
        <v>281</v>
      </c>
      <c r="B18" s="57" t="s">
        <v>62</v>
      </c>
      <c r="C18" s="57">
        <v>2013</v>
      </c>
      <c r="D18" s="61">
        <v>3514885.8878000001</v>
      </c>
      <c r="E18" s="57">
        <v>168</v>
      </c>
      <c r="F18" s="57">
        <v>9293</v>
      </c>
      <c r="G18" s="61">
        <v>16189.174999999999</v>
      </c>
      <c r="H18" s="57">
        <v>51</v>
      </c>
      <c r="I18" s="61">
        <v>3498696.7127999999</v>
      </c>
      <c r="J18" s="61"/>
    </row>
    <row r="19" spans="1:19" x14ac:dyDescent="0.3">
      <c r="A19" s="57">
        <v>292</v>
      </c>
      <c r="B19" s="57" t="s">
        <v>63</v>
      </c>
      <c r="C19" s="57">
        <v>2013</v>
      </c>
      <c r="D19" s="61">
        <v>3066150.9139999999</v>
      </c>
      <c r="E19" s="57">
        <v>110</v>
      </c>
      <c r="F19" s="57">
        <v>9349</v>
      </c>
      <c r="G19" s="61">
        <v>-87343.787299999996</v>
      </c>
      <c r="H19" s="57">
        <v>33</v>
      </c>
      <c r="I19" s="61">
        <v>3153494.7012999998</v>
      </c>
      <c r="J19" s="61"/>
    </row>
    <row r="20" spans="1:19" x14ac:dyDescent="0.3">
      <c r="A20" s="57">
        <v>283</v>
      </c>
      <c r="B20" s="57" t="s">
        <v>64</v>
      </c>
      <c r="C20" s="57">
        <v>2013</v>
      </c>
      <c r="D20" s="61">
        <v>2927312.6381999999</v>
      </c>
      <c r="E20" s="57">
        <v>181</v>
      </c>
      <c r="F20" s="57">
        <v>10941</v>
      </c>
      <c r="G20" s="61">
        <v>-37531.049899999998</v>
      </c>
      <c r="H20" s="57">
        <v>54</v>
      </c>
      <c r="I20" s="61">
        <v>2964843.6880999999</v>
      </c>
      <c r="J20" s="61"/>
    </row>
    <row r="24" spans="1:19" s="52" customFormat="1" x14ac:dyDescent="0.3">
      <c r="A24" s="60" t="s">
        <v>83</v>
      </c>
      <c r="B24" s="60"/>
      <c r="C24" s="60"/>
      <c r="D24" s="60"/>
      <c r="E24" s="60"/>
      <c r="F24" s="60"/>
      <c r="G24" s="60"/>
      <c r="H24" s="60"/>
      <c r="K24" s="60" t="s">
        <v>84</v>
      </c>
      <c r="L24" s="60"/>
      <c r="M24" s="60"/>
      <c r="N24" s="60"/>
      <c r="O24" s="60"/>
      <c r="P24" s="60"/>
      <c r="Q24" s="60"/>
      <c r="R24" s="60"/>
      <c r="S24" s="60"/>
    </row>
    <row r="25" spans="1:19" s="62" customFormat="1" ht="27.6" x14ac:dyDescent="0.3">
      <c r="A25" s="62" t="s">
        <v>2</v>
      </c>
      <c r="B25" s="62" t="s">
        <v>70</v>
      </c>
      <c r="C25" s="62" t="s">
        <v>41</v>
      </c>
      <c r="D25" s="62" t="s">
        <v>5</v>
      </c>
      <c r="E25" s="62" t="s">
        <v>4</v>
      </c>
      <c r="F25" s="62" t="s">
        <v>68</v>
      </c>
      <c r="G25" s="62" t="s">
        <v>69</v>
      </c>
      <c r="H25" s="62" t="s">
        <v>86</v>
      </c>
      <c r="J25" s="62" t="s">
        <v>2</v>
      </c>
      <c r="K25" s="62" t="s">
        <v>70</v>
      </c>
      <c r="L25" s="62" t="s">
        <v>41</v>
      </c>
      <c r="M25" s="62" t="s">
        <v>5</v>
      </c>
      <c r="N25" s="62" t="s">
        <v>4</v>
      </c>
      <c r="O25" s="62" t="s">
        <v>67</v>
      </c>
      <c r="P25" s="62" t="s">
        <v>68</v>
      </c>
      <c r="Q25" s="62" t="s">
        <v>69</v>
      </c>
      <c r="R25" s="62" t="s">
        <v>86</v>
      </c>
    </row>
    <row r="26" spans="1:19" x14ac:dyDescent="0.3">
      <c r="A26" s="57">
        <v>2013</v>
      </c>
      <c r="B26" s="57" t="s">
        <v>64</v>
      </c>
      <c r="C26" s="61">
        <v>2927312.6381999999</v>
      </c>
      <c r="D26" s="57">
        <v>10941</v>
      </c>
      <c r="E26" s="57">
        <v>181</v>
      </c>
      <c r="F26" s="61">
        <v>2927312.6381999999</v>
      </c>
      <c r="G26" s="61">
        <v>16172.998</v>
      </c>
      <c r="H26" s="64">
        <f>C26/$C$43</f>
        <v>8.7187702089430802E-2</v>
      </c>
      <c r="I26" s="64"/>
      <c r="J26" s="57">
        <v>2013</v>
      </c>
      <c r="K26" s="57" t="s">
        <v>60</v>
      </c>
      <c r="L26" s="61">
        <v>3943176.2448999998</v>
      </c>
      <c r="M26" s="57">
        <v>12077</v>
      </c>
      <c r="N26" s="57">
        <v>160</v>
      </c>
      <c r="O26" s="57">
        <v>43</v>
      </c>
      <c r="P26" s="61">
        <v>3943176.2448999998</v>
      </c>
      <c r="Q26" s="61">
        <v>24644.851500000001</v>
      </c>
      <c r="R26" s="64">
        <f>L26/$C$43</f>
        <v>0.11744439976792556</v>
      </c>
    </row>
    <row r="27" spans="1:19" x14ac:dyDescent="0.3">
      <c r="A27" s="57">
        <v>2013</v>
      </c>
      <c r="B27" s="57" t="s">
        <v>62</v>
      </c>
      <c r="C27" s="61">
        <v>3514885.8878000001</v>
      </c>
      <c r="D27" s="57">
        <v>9293</v>
      </c>
      <c r="E27" s="57">
        <v>168</v>
      </c>
      <c r="F27" s="61">
        <v>3514885.8878000001</v>
      </c>
      <c r="G27" s="61">
        <v>20921.9398</v>
      </c>
      <c r="H27" s="64">
        <f t="shared" ref="H27:H42" si="1">C27/$C$43</f>
        <v>0.1046881086990044</v>
      </c>
      <c r="I27" s="64"/>
      <c r="J27" s="57">
        <v>2013</v>
      </c>
      <c r="K27" s="57" t="s">
        <v>61</v>
      </c>
      <c r="L27" s="61">
        <v>3632484.9119000002</v>
      </c>
      <c r="M27" s="57">
        <v>12087</v>
      </c>
      <c r="N27" s="57">
        <v>175</v>
      </c>
      <c r="O27" s="57">
        <v>50</v>
      </c>
      <c r="P27" s="61">
        <v>3632484.9119000002</v>
      </c>
      <c r="Q27" s="61">
        <v>20757.0566</v>
      </c>
      <c r="R27" s="64">
        <f>L27/$C$43</f>
        <v>0.10819070303943783</v>
      </c>
    </row>
    <row r="28" spans="1:19" x14ac:dyDescent="0.3">
      <c r="A28" s="57">
        <v>2013</v>
      </c>
      <c r="B28" s="57" t="s">
        <v>61</v>
      </c>
      <c r="C28" s="61">
        <v>3632484.9119000002</v>
      </c>
      <c r="D28" s="57">
        <v>12087</v>
      </c>
      <c r="E28" s="57">
        <v>175</v>
      </c>
      <c r="F28" s="61">
        <v>3632484.9119000002</v>
      </c>
      <c r="G28" s="61">
        <v>20757.0566</v>
      </c>
      <c r="H28" s="64">
        <f t="shared" si="1"/>
        <v>0.10819070303943783</v>
      </c>
      <c r="I28" s="64"/>
      <c r="J28" s="57">
        <v>2013</v>
      </c>
      <c r="K28" s="57" t="s">
        <v>62</v>
      </c>
      <c r="L28" s="61">
        <v>3514885.8878000001</v>
      </c>
      <c r="M28" s="57">
        <v>9293</v>
      </c>
      <c r="N28" s="57">
        <v>168</v>
      </c>
      <c r="O28" s="57">
        <v>51</v>
      </c>
      <c r="P28" s="61">
        <v>3514885.8878000001</v>
      </c>
      <c r="Q28" s="61">
        <v>20921.9398</v>
      </c>
      <c r="R28" s="64">
        <f>L28/$C$43</f>
        <v>0.1046881086990044</v>
      </c>
    </row>
    <row r="29" spans="1:19" x14ac:dyDescent="0.3">
      <c r="A29" s="57">
        <v>2013</v>
      </c>
      <c r="B29" s="57" t="s">
        <v>71</v>
      </c>
      <c r="C29" s="61">
        <v>2144310.1548000001</v>
      </c>
      <c r="D29" s="57">
        <v>6354</v>
      </c>
      <c r="E29" s="57">
        <v>155</v>
      </c>
      <c r="F29" s="61">
        <v>2144310.1548000001</v>
      </c>
      <c r="G29" s="61">
        <v>13834.259</v>
      </c>
      <c r="H29" s="64">
        <f t="shared" si="1"/>
        <v>6.3866589623650008E-2</v>
      </c>
      <c r="I29" s="64"/>
      <c r="J29" s="57">
        <v>2013</v>
      </c>
      <c r="K29" s="57" t="s">
        <v>63</v>
      </c>
      <c r="L29" s="61">
        <v>3066150.9139999999</v>
      </c>
      <c r="M29" s="57">
        <v>9349</v>
      </c>
      <c r="N29" s="57">
        <v>110</v>
      </c>
      <c r="O29" s="57">
        <v>33</v>
      </c>
      <c r="P29" s="61">
        <v>3066150.9139999999</v>
      </c>
      <c r="Q29" s="61">
        <v>27874.099200000001</v>
      </c>
      <c r="R29" s="64">
        <f>L29/$C$43</f>
        <v>9.132289081888062E-2</v>
      </c>
    </row>
    <row r="30" spans="1:19" x14ac:dyDescent="0.3">
      <c r="A30" s="57">
        <v>2013</v>
      </c>
      <c r="B30" s="57" t="s">
        <v>60</v>
      </c>
      <c r="C30" s="61">
        <v>3943176.2448999998</v>
      </c>
      <c r="D30" s="57">
        <v>12077</v>
      </c>
      <c r="E30" s="57">
        <v>160</v>
      </c>
      <c r="F30" s="61">
        <v>3943176.2448999998</v>
      </c>
      <c r="G30" s="61">
        <v>24644.851500000001</v>
      </c>
      <c r="H30" s="64">
        <f t="shared" si="1"/>
        <v>0.11744439976792556</v>
      </c>
      <c r="I30" s="64"/>
      <c r="J30" s="57">
        <v>2013</v>
      </c>
      <c r="K30" s="57" t="s">
        <v>64</v>
      </c>
      <c r="L30" s="61">
        <v>2927312.6381999999</v>
      </c>
      <c r="M30" s="57">
        <v>10941</v>
      </c>
      <c r="N30" s="57">
        <v>181</v>
      </c>
      <c r="O30" s="57">
        <v>54</v>
      </c>
      <c r="P30" s="61">
        <v>2927312.6381999999</v>
      </c>
      <c r="Q30" s="61">
        <v>16172.998</v>
      </c>
      <c r="R30" s="64">
        <f>L30/$C$43</f>
        <v>8.7187702089430802E-2</v>
      </c>
    </row>
    <row r="31" spans="1:19" x14ac:dyDescent="0.3">
      <c r="A31" s="57">
        <v>2013</v>
      </c>
      <c r="B31" s="57" t="s">
        <v>72</v>
      </c>
      <c r="C31" s="61">
        <v>2452056.2280999999</v>
      </c>
      <c r="D31" s="57">
        <v>7640</v>
      </c>
      <c r="E31" s="57">
        <v>106</v>
      </c>
      <c r="F31" s="61">
        <v>2452056.2280999999</v>
      </c>
      <c r="G31" s="61">
        <v>23132.605899999999</v>
      </c>
      <c r="H31" s="64">
        <f t="shared" si="1"/>
        <v>7.3032564110943346E-2</v>
      </c>
      <c r="I31" s="64"/>
      <c r="J31" s="57">
        <v>2013</v>
      </c>
      <c r="K31" s="57" t="s">
        <v>72</v>
      </c>
      <c r="L31" s="61">
        <v>2452056.2280999999</v>
      </c>
      <c r="M31" s="57">
        <v>7640</v>
      </c>
      <c r="N31" s="57">
        <v>106</v>
      </c>
      <c r="O31" s="57">
        <v>35</v>
      </c>
      <c r="P31" s="61">
        <v>2452056.2280999999</v>
      </c>
      <c r="Q31" s="61">
        <v>23132.605899999999</v>
      </c>
      <c r="R31" s="64">
        <f>L31/$C$43</f>
        <v>7.3032564110943346E-2</v>
      </c>
    </row>
    <row r="32" spans="1:19" x14ac:dyDescent="0.3">
      <c r="A32" s="57">
        <v>2013</v>
      </c>
      <c r="B32" s="57" t="s">
        <v>73</v>
      </c>
      <c r="C32" s="61">
        <v>1371986.2109999999</v>
      </c>
      <c r="D32" s="57">
        <v>3999</v>
      </c>
      <c r="E32" s="57">
        <v>102</v>
      </c>
      <c r="F32" s="61">
        <v>1371986.2109999999</v>
      </c>
      <c r="G32" s="61">
        <v>13450.8452</v>
      </c>
      <c r="H32" s="64">
        <f t="shared" si="1"/>
        <v>4.0863529052035011E-2</v>
      </c>
      <c r="I32" s="64"/>
      <c r="J32" s="57">
        <v>2013</v>
      </c>
      <c r="K32" s="57" t="s">
        <v>71</v>
      </c>
      <c r="L32" s="61">
        <v>2144310.1548000001</v>
      </c>
      <c r="M32" s="57">
        <v>6354</v>
      </c>
      <c r="N32" s="57">
        <v>155</v>
      </c>
      <c r="O32" s="57">
        <v>47</v>
      </c>
      <c r="P32" s="61">
        <v>2144310.1548000001</v>
      </c>
      <c r="Q32" s="61">
        <v>13834.259</v>
      </c>
      <c r="R32" s="64">
        <f>L32/$C$43</f>
        <v>6.3866589623650008E-2</v>
      </c>
    </row>
    <row r="33" spans="1:18" x14ac:dyDescent="0.3">
      <c r="A33" s="57">
        <v>2013</v>
      </c>
      <c r="B33" s="57" t="s">
        <v>63</v>
      </c>
      <c r="C33" s="61">
        <v>3066150.9139999999</v>
      </c>
      <c r="D33" s="57">
        <v>9349</v>
      </c>
      <c r="E33" s="57">
        <v>110</v>
      </c>
      <c r="F33" s="61">
        <v>3066150.9139999999</v>
      </c>
      <c r="G33" s="61">
        <v>27874.099200000001</v>
      </c>
      <c r="H33" s="64">
        <f t="shared" si="1"/>
        <v>9.132289081888062E-2</v>
      </c>
      <c r="I33" s="64"/>
      <c r="J33" s="57">
        <v>2013</v>
      </c>
      <c r="K33" s="57" t="s">
        <v>76</v>
      </c>
      <c r="L33" s="61">
        <v>2104205.0285</v>
      </c>
      <c r="M33" s="57">
        <v>5995</v>
      </c>
      <c r="N33" s="57">
        <v>97</v>
      </c>
      <c r="O33" s="57">
        <v>27</v>
      </c>
      <c r="P33" s="61">
        <v>2104205.0285</v>
      </c>
      <c r="Q33" s="61">
        <v>21692.835299999999</v>
      </c>
      <c r="R33" s="64">
        <f>L33/$C$43</f>
        <v>6.2672090013846285E-2</v>
      </c>
    </row>
    <row r="34" spans="1:18" x14ac:dyDescent="0.3">
      <c r="A34" s="57">
        <v>2013</v>
      </c>
      <c r="B34" s="57" t="s">
        <v>74</v>
      </c>
      <c r="C34" s="61">
        <v>1614311.6264</v>
      </c>
      <c r="D34" s="57">
        <v>6150</v>
      </c>
      <c r="E34" s="57">
        <v>112</v>
      </c>
      <c r="F34" s="61">
        <v>1614311.6264</v>
      </c>
      <c r="G34" s="61">
        <v>14413.4966</v>
      </c>
      <c r="H34" s="64">
        <f t="shared" si="1"/>
        <v>4.8081000753173231E-2</v>
      </c>
      <c r="I34" s="64"/>
      <c r="J34" s="57">
        <v>2013</v>
      </c>
      <c r="K34" s="57" t="s">
        <v>74</v>
      </c>
      <c r="L34" s="61">
        <v>1614311.6264</v>
      </c>
      <c r="M34" s="57">
        <v>6150</v>
      </c>
      <c r="N34" s="57">
        <v>112</v>
      </c>
      <c r="O34" s="57">
        <v>31</v>
      </c>
      <c r="P34" s="61">
        <v>1614311.6264</v>
      </c>
      <c r="Q34" s="61">
        <v>14413.4966</v>
      </c>
      <c r="R34" s="64">
        <f>L34/$C$43</f>
        <v>4.8081000753173231E-2</v>
      </c>
    </row>
    <row r="35" spans="1:18" x14ac:dyDescent="0.3">
      <c r="A35" s="57">
        <v>2013</v>
      </c>
      <c r="B35" s="57" t="s">
        <v>75</v>
      </c>
      <c r="C35" s="61">
        <v>1437059.5381</v>
      </c>
      <c r="D35" s="57">
        <v>5548</v>
      </c>
      <c r="E35" s="57">
        <v>95</v>
      </c>
      <c r="F35" s="61">
        <v>1437059.5381</v>
      </c>
      <c r="G35" s="61">
        <v>15126.942499999999</v>
      </c>
      <c r="H35" s="64">
        <f t="shared" si="1"/>
        <v>4.2801686863785368E-2</v>
      </c>
      <c r="I35" s="64"/>
      <c r="J35" s="57">
        <v>2013</v>
      </c>
      <c r="K35" s="57" t="s">
        <v>77</v>
      </c>
      <c r="L35" s="61">
        <v>1478012.2180999999</v>
      </c>
      <c r="M35" s="57">
        <v>3425</v>
      </c>
      <c r="N35" s="57">
        <v>90</v>
      </c>
      <c r="O35" s="57">
        <v>25</v>
      </c>
      <c r="P35" s="61">
        <v>1478012.2180999999</v>
      </c>
      <c r="Q35" s="61">
        <v>16422.357899999999</v>
      </c>
      <c r="R35" s="64">
        <f>L35/$C$43</f>
        <v>4.4021430193216464E-2</v>
      </c>
    </row>
    <row r="36" spans="1:18" x14ac:dyDescent="0.3">
      <c r="A36" s="57">
        <v>2013</v>
      </c>
      <c r="B36" s="57" t="s">
        <v>76</v>
      </c>
      <c r="C36" s="61">
        <v>2104205.0285</v>
      </c>
      <c r="D36" s="57">
        <v>5995</v>
      </c>
      <c r="E36" s="57">
        <v>97</v>
      </c>
      <c r="F36" s="61">
        <v>2104205.0285</v>
      </c>
      <c r="G36" s="61">
        <v>21692.835299999999</v>
      </c>
      <c r="H36" s="64">
        <f t="shared" si="1"/>
        <v>6.2672090013846285E-2</v>
      </c>
      <c r="I36" s="64"/>
      <c r="J36" s="57">
        <v>2013</v>
      </c>
      <c r="K36" s="57" t="s">
        <v>75</v>
      </c>
      <c r="L36" s="61">
        <v>1437059.5381</v>
      </c>
      <c r="M36" s="57">
        <v>5548</v>
      </c>
      <c r="N36" s="57">
        <v>95</v>
      </c>
      <c r="O36" s="57">
        <v>28</v>
      </c>
      <c r="P36" s="61">
        <v>1437059.5381</v>
      </c>
      <c r="Q36" s="61">
        <v>15126.942499999999</v>
      </c>
      <c r="R36" s="64">
        <f>L36/$C$43</f>
        <v>4.2801686863785368E-2</v>
      </c>
    </row>
    <row r="37" spans="1:18" x14ac:dyDescent="0.3">
      <c r="A37" s="57">
        <v>2013</v>
      </c>
      <c r="B37" s="57" t="s">
        <v>77</v>
      </c>
      <c r="C37" s="61">
        <v>1478012.2180999999</v>
      </c>
      <c r="D37" s="57">
        <v>3425</v>
      </c>
      <c r="E37" s="57">
        <v>90</v>
      </c>
      <c r="F37" s="61">
        <v>1478012.2180999999</v>
      </c>
      <c r="G37" s="61">
        <v>16422.357899999999</v>
      </c>
      <c r="H37" s="64">
        <f t="shared" si="1"/>
        <v>4.4021430193216464E-2</v>
      </c>
      <c r="I37" s="64"/>
      <c r="J37" s="57">
        <v>2013</v>
      </c>
      <c r="K37" s="57" t="s">
        <v>78</v>
      </c>
      <c r="L37" s="61">
        <v>1400906.2564999999</v>
      </c>
      <c r="M37" s="57">
        <v>3628</v>
      </c>
      <c r="N37" s="57">
        <v>75</v>
      </c>
      <c r="O37" s="57">
        <v>23</v>
      </c>
      <c r="P37" s="61">
        <v>1400906.2564999999</v>
      </c>
      <c r="Q37" s="61">
        <v>18678.75</v>
      </c>
      <c r="R37" s="64">
        <f>L37/$C$43</f>
        <v>4.1724889836859562E-2</v>
      </c>
    </row>
    <row r="38" spans="1:18" x14ac:dyDescent="0.3">
      <c r="A38" s="57">
        <v>2013</v>
      </c>
      <c r="B38" s="57" t="s">
        <v>78</v>
      </c>
      <c r="C38" s="61">
        <v>1400906.2564999999</v>
      </c>
      <c r="D38" s="57">
        <v>3628</v>
      </c>
      <c r="E38" s="57">
        <v>75</v>
      </c>
      <c r="F38" s="61">
        <v>1400906.2564999999</v>
      </c>
      <c r="G38" s="61">
        <v>18678.75</v>
      </c>
      <c r="H38" s="64">
        <f t="shared" si="1"/>
        <v>4.1724889836859562E-2</v>
      </c>
      <c r="I38" s="64"/>
      <c r="J38" s="57">
        <v>2013</v>
      </c>
      <c r="K38" s="57" t="s">
        <v>73</v>
      </c>
      <c r="L38" s="61">
        <v>1371986.2109999999</v>
      </c>
      <c r="M38" s="57">
        <v>3999</v>
      </c>
      <c r="N38" s="57">
        <v>102</v>
      </c>
      <c r="O38" s="57">
        <v>33</v>
      </c>
      <c r="P38" s="61">
        <v>1371986.2109999999</v>
      </c>
      <c r="Q38" s="61">
        <v>13450.8452</v>
      </c>
      <c r="R38" s="64">
        <f>L38/$C$43</f>
        <v>4.0863529052035011E-2</v>
      </c>
    </row>
    <row r="39" spans="1:18" x14ac:dyDescent="0.3">
      <c r="A39" s="57">
        <v>2013</v>
      </c>
      <c r="B39" s="57" t="s">
        <v>79</v>
      </c>
      <c r="C39" s="61">
        <v>515513.22649999999</v>
      </c>
      <c r="D39" s="57">
        <v>1378</v>
      </c>
      <c r="E39" s="57">
        <v>26</v>
      </c>
      <c r="F39" s="61">
        <v>515513.22649999999</v>
      </c>
      <c r="G39" s="61">
        <v>19827.431700000001</v>
      </c>
      <c r="H39" s="64">
        <f t="shared" si="1"/>
        <v>1.5354155558485461E-2</v>
      </c>
      <c r="I39" s="64"/>
      <c r="J39" s="57">
        <v>2013</v>
      </c>
      <c r="K39" s="57" t="s">
        <v>82</v>
      </c>
      <c r="L39" s="61">
        <v>1240241.057</v>
      </c>
      <c r="M39" s="57">
        <v>3174</v>
      </c>
      <c r="N39" s="57">
        <v>22</v>
      </c>
      <c r="O39" s="57">
        <v>6</v>
      </c>
      <c r="P39" s="61">
        <v>1240241.057</v>
      </c>
      <c r="Q39" s="61">
        <v>56374.593500000003</v>
      </c>
      <c r="R39" s="64">
        <f>L39/$C$43</f>
        <v>3.6939603370580894E-2</v>
      </c>
    </row>
    <row r="40" spans="1:18" x14ac:dyDescent="0.3">
      <c r="A40" s="57">
        <v>2013</v>
      </c>
      <c r="B40" s="57" t="s">
        <v>80</v>
      </c>
      <c r="C40" s="61">
        <v>559697.56389999995</v>
      </c>
      <c r="D40" s="57">
        <v>1795</v>
      </c>
      <c r="E40" s="57">
        <v>18</v>
      </c>
      <c r="F40" s="61">
        <v>559697.56389999995</v>
      </c>
      <c r="G40" s="61">
        <v>31094.309099999999</v>
      </c>
      <c r="H40" s="64">
        <f t="shared" si="1"/>
        <v>1.6670151259108295E-2</v>
      </c>
      <c r="I40" s="64"/>
      <c r="J40" s="57">
        <v>2013</v>
      </c>
      <c r="K40" s="57" t="s">
        <v>80</v>
      </c>
      <c r="L40" s="61">
        <v>559697.56389999995</v>
      </c>
      <c r="M40" s="57">
        <v>1795</v>
      </c>
      <c r="N40" s="57">
        <v>18</v>
      </c>
      <c r="O40" s="57">
        <v>17</v>
      </c>
      <c r="P40" s="61">
        <v>559697.56389999995</v>
      </c>
      <c r="Q40" s="61">
        <v>31094.309099999999</v>
      </c>
      <c r="R40" s="64">
        <f>L40/$C$43</f>
        <v>1.6670151259108295E-2</v>
      </c>
    </row>
    <row r="41" spans="1:18" x14ac:dyDescent="0.3">
      <c r="A41" s="57">
        <v>2013</v>
      </c>
      <c r="B41" s="57" t="s">
        <v>81</v>
      </c>
      <c r="C41" s="61">
        <v>172524.4515</v>
      </c>
      <c r="D41" s="57">
        <v>825</v>
      </c>
      <c r="E41" s="57">
        <v>16</v>
      </c>
      <c r="F41" s="61">
        <v>172524.4515</v>
      </c>
      <c r="G41" s="61">
        <v>10782.778200000001</v>
      </c>
      <c r="H41" s="64">
        <f t="shared" si="1"/>
        <v>5.1385049496365928E-3</v>
      </c>
      <c r="I41" s="64"/>
      <c r="J41" s="57">
        <v>2013</v>
      </c>
      <c r="K41" s="57" t="s">
        <v>79</v>
      </c>
      <c r="L41" s="61">
        <v>515513.22649999999</v>
      </c>
      <c r="M41" s="57">
        <v>1378</v>
      </c>
      <c r="N41" s="57">
        <v>26</v>
      </c>
      <c r="O41" s="57">
        <v>22</v>
      </c>
      <c r="P41" s="61">
        <v>515513.22649999999</v>
      </c>
      <c r="Q41" s="61">
        <v>19827.431700000001</v>
      </c>
      <c r="R41" s="64">
        <f>L41/$C$43</f>
        <v>1.5354155558485461E-2</v>
      </c>
    </row>
    <row r="42" spans="1:18" x14ac:dyDescent="0.3">
      <c r="A42" s="57">
        <v>2013</v>
      </c>
      <c r="B42" s="57" t="s">
        <v>82</v>
      </c>
      <c r="C42" s="61">
        <v>1240241.057</v>
      </c>
      <c r="D42" s="57">
        <v>3174</v>
      </c>
      <c r="E42" s="57">
        <v>22</v>
      </c>
      <c r="F42" s="61">
        <v>1240241.057</v>
      </c>
      <c r="G42" s="61">
        <v>56374.593500000003</v>
      </c>
      <c r="H42" s="64">
        <f t="shared" si="1"/>
        <v>3.6939603370580894E-2</v>
      </c>
      <c r="I42" s="64"/>
      <c r="J42" s="57">
        <v>2013</v>
      </c>
      <c r="K42" s="57" t="s">
        <v>81</v>
      </c>
      <c r="L42" s="61">
        <v>172524.4515</v>
      </c>
      <c r="M42" s="57">
        <v>825</v>
      </c>
      <c r="N42" s="57">
        <v>16</v>
      </c>
      <c r="O42" s="57">
        <v>14</v>
      </c>
      <c r="P42" s="61">
        <v>172524.4515</v>
      </c>
      <c r="Q42" s="61">
        <v>10782.778200000001</v>
      </c>
      <c r="R42" s="64">
        <f>L42/$C$43</f>
        <v>5.1385049496365928E-3</v>
      </c>
    </row>
    <row r="43" spans="1:18" x14ac:dyDescent="0.3">
      <c r="C43" s="61">
        <f>SUM(C26:C42)</f>
        <v>33574834.157200009</v>
      </c>
      <c r="D43" s="61">
        <f t="shared" ref="D43:G43" si="2">SUM(D26:D42)</f>
        <v>103658</v>
      </c>
      <c r="E43" s="61">
        <f t="shared" si="2"/>
        <v>1708</v>
      </c>
      <c r="F43" s="61">
        <f t="shared" si="2"/>
        <v>33574834.157200009</v>
      </c>
      <c r="G43" s="61">
        <f t="shared" si="2"/>
        <v>365202.15000000008</v>
      </c>
      <c r="L43" s="61">
        <f>SUM(L26:L42)</f>
        <v>33574834.157200009</v>
      </c>
      <c r="M43" s="61">
        <f>SUM(M26:M42)</f>
        <v>103658</v>
      </c>
      <c r="N43" s="61">
        <f>SUM(N26:N42)</f>
        <v>1708</v>
      </c>
      <c r="O43" s="61">
        <f>SUM(O26:O42)</f>
        <v>539</v>
      </c>
      <c r="P43" s="61">
        <f>SUM(P26:P42)</f>
        <v>33574834.157200009</v>
      </c>
      <c r="Q43" s="61">
        <f>SUM(Q26:Q42)</f>
        <v>365202.15</v>
      </c>
    </row>
  </sheetData>
  <sortState xmlns:xlrd2="http://schemas.microsoft.com/office/spreadsheetml/2017/richdata2" ref="J26:R43">
    <sortCondition descending="1" ref="R25:R43"/>
  </sortState>
  <mergeCells count="5">
    <mergeCell ref="A14:K14"/>
    <mergeCell ref="A6:K6"/>
    <mergeCell ref="A24:H24"/>
    <mergeCell ref="K24:S24"/>
    <mergeCell ref="L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Profitability Analysis</vt:lpstr>
      <vt:lpstr>Product &amp; Sales</vt:lpstr>
      <vt:lpstr>Customer Performance</vt:lpstr>
      <vt:lpstr>Region &amp; Territory</vt:lpstr>
      <vt:lpstr>Salesperson  &amp; Salesperson Dril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Yikum Shiferaw</dc:creator>
  <cp:lastModifiedBy>Yikum Shiferaw</cp:lastModifiedBy>
  <dcterms:created xsi:type="dcterms:W3CDTF">2026-10-03T16:37:22Z</dcterms:created>
  <dcterms:modified xsi:type="dcterms:W3CDTF">2026-10-06T23:05:08Z</dcterms:modified>
</cp:coreProperties>
</file>